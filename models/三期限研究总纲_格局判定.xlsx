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_三期限总纲" sheetId="1" state="visible" r:id="rId3"/>
    <sheet name="02_作战清单" sheetId="2" state="visible" r:id="rId4"/>
    <sheet name="03_格局判定" sheetId="3" state="visible" r:id="rId5"/>
  </sheets>
  <definedNames>
    <definedName function="false" hidden="true" localSheetId="0" name="_xlnm._FilterDatabase" vbProcedure="false">01_三期限总纲!$A$4:$H$209</definedName>
    <definedName function="false" hidden="true" localSheetId="1" name="_xlnm._FilterDatabase" vbProcedure="false">02_作战清单!$A$29:$K$209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<sst xmlns="http://schemas.openxmlformats.org/spreadsheetml/2006/main" count="2558" uniqueCount="1882">
  <si>
    <r>
      <rPr>
        <b val="true"/>
        <sz val="13"/>
        <color rgb="FF1F3864"/>
        <rFont val="Noto Sans CJK SC"/>
        <family val="2"/>
      </rPr>
      <t xml:space="preserve">三期限研究总纲 </t>
    </r>
    <r>
      <rPr>
        <b val="true"/>
        <sz val="13"/>
        <color rgb="FF1F3864"/>
        <rFont val="KaiTi"/>
        <family val="0"/>
        <charset val="1"/>
      </rPr>
      <t xml:space="preserve">· </t>
    </r>
    <r>
      <rPr>
        <b val="true"/>
        <sz val="13"/>
        <color rgb="FF1F3864"/>
        <rFont val="Noto Sans CJK SC"/>
        <family val="2"/>
      </rPr>
      <t xml:space="preserve">长期 </t>
    </r>
    <r>
      <rPr>
        <b val="true"/>
        <sz val="13"/>
        <color rgb="FF1F3864"/>
        <rFont val="KaiTi"/>
        <family val="0"/>
        <charset val="1"/>
      </rPr>
      <t xml:space="preserve">/ </t>
    </r>
    <r>
      <rPr>
        <b val="true"/>
        <sz val="13"/>
        <color rgb="FF1F3864"/>
        <rFont val="Noto Sans CJK SC"/>
        <family val="2"/>
      </rPr>
      <t xml:space="preserve">中期 </t>
    </r>
    <r>
      <rPr>
        <b val="true"/>
        <sz val="13"/>
        <color rgb="FF1F3864"/>
        <rFont val="KaiTi"/>
        <family val="0"/>
        <charset val="1"/>
      </rPr>
      <t xml:space="preserve">/ </t>
    </r>
    <r>
      <rPr>
        <b val="true"/>
        <sz val="13"/>
        <color rgb="FF1F3864"/>
        <rFont val="Noto Sans CJK SC"/>
        <family val="2"/>
      </rPr>
      <t xml:space="preserve">短期的实质分析维度</t>
    </r>
  </si>
  <si>
    <t xml:space="preserve">三层不是同一问题的三个时间尺度，是三个不同的问题：长期定价现金流，中期定价预期修正，短期定价筹码。本表按「期限 → 模块 → 维度」展开，每一维度给出实质内容、判定阈值、观测手段、证伪信号与常见错误。</t>
  </si>
  <si>
    <t xml:space="preserve">期限</t>
  </si>
  <si>
    <t xml:space="preserve">模块</t>
  </si>
  <si>
    <t xml:space="preserve">维度</t>
  </si>
  <si>
    <t xml:space="preserve">实质内容：这一层到底在判什么</t>
  </si>
  <si>
    <r>
      <rPr>
        <b val="true"/>
        <sz val="9.5"/>
        <color rgb="FFFFFFFF"/>
        <rFont val="Noto Sans CJK SC"/>
        <family val="2"/>
      </rPr>
      <t xml:space="preserve">判定标准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阈值</t>
    </r>
  </si>
  <si>
    <r>
      <rPr>
        <b val="true"/>
        <sz val="9.5"/>
        <color rgb="FFFFFFFF"/>
        <rFont val="Noto Sans CJK SC"/>
        <family val="2"/>
      </rPr>
      <t xml:space="preserve">观测手段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数据源</t>
    </r>
  </si>
  <si>
    <t xml:space="preserve">证伪信号</t>
  </si>
  <si>
    <t xml:space="preserve">常见错误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</si>
  <si>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A </t>
    </r>
    <r>
      <rPr>
        <b val="true"/>
        <sz val="10.5"/>
        <color rgb="FF1F3864"/>
        <rFont val="Noto Sans CJK SC"/>
        <family val="2"/>
      </rPr>
      <t xml:space="preserve">问题定义</t>
    </r>
  </si>
  <si>
    <r>
      <rPr>
        <b val="true"/>
        <sz val="8.5"/>
        <color rgb="FF000000"/>
        <rFont val="Noto Sans CJK SC"/>
        <family val="2"/>
      </rPr>
      <t xml:space="preserve">长期（</t>
    </r>
    <r>
      <rPr>
        <b val="true"/>
        <sz val="8.5"/>
        <color rgb="FF000000"/>
        <rFont val="KaiTi"/>
        <family val="0"/>
        <charset val="1"/>
      </rPr>
      <t xml:space="preserve">3–5y</t>
    </r>
    <r>
      <rPr>
        <b val="true"/>
        <sz val="8.5"/>
        <color rgb="FF000000"/>
        <rFont val="Noto Sans CJK SC"/>
        <family val="2"/>
      </rPr>
      <t xml:space="preserve">）</t>
    </r>
  </si>
  <si>
    <r>
      <rPr>
        <sz val="8.5"/>
        <color rgb="FF7F7F7F"/>
        <rFont val="KaiTi"/>
        <family val="0"/>
        <charset val="1"/>
      </rPr>
      <t xml:space="preserve">A </t>
    </r>
    <r>
      <rPr>
        <sz val="8.5"/>
        <color rgb="FF7F7F7F"/>
        <rFont val="Noto Sans CJK SC"/>
        <family val="2"/>
      </rPr>
      <t xml:space="preserve">问题定义</t>
    </r>
  </si>
  <si>
    <t xml:space="preserve">定价对象</t>
  </si>
  <si>
    <r>
      <rPr>
        <sz val="9"/>
        <color rgb="FF0000FF"/>
        <rFont val="Noto Sans CJK SC"/>
        <family val="2"/>
      </rPr>
      <t xml:space="preserve">终局现金流本身（企业价值），不是明年 </t>
    </r>
    <r>
      <rPr>
        <sz val="9"/>
        <color rgb="FF0000FF"/>
        <rFont val="KaiTi"/>
        <family val="0"/>
        <charset val="1"/>
      </rPr>
      <t xml:space="preserve">EPS</t>
    </r>
  </si>
  <si>
    <r>
      <rPr>
        <sz val="8.5"/>
        <color rgb="FF000000"/>
        <rFont val="Noto Sans CJK SC"/>
        <family val="2"/>
      </rPr>
      <t xml:space="preserve">能写出「稳态年份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稳态收入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稳态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」三个数</t>
    </r>
  </si>
  <si>
    <t xml:space="preserve">自建终局表</t>
  </si>
  <si>
    <r>
      <rPr>
        <sz val="8.5"/>
        <color rgb="FF000000"/>
        <rFont val="Noto Sans CJK SC"/>
        <family val="2"/>
      </rPr>
      <t xml:space="preserve">写不出稳态年份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还没做长期研究</t>
    </r>
  </si>
  <si>
    <r>
      <rPr>
        <sz val="8.5"/>
        <color rgb="FFC00000"/>
        <rFont val="Noto Sans CJK SC"/>
        <family val="2"/>
      </rPr>
      <t xml:space="preserve">把</t>
    </r>
    <r>
      <rPr>
        <sz val="8.5"/>
        <color rgb="FFC00000"/>
        <rFont val="KaiTi"/>
        <family val="0"/>
        <charset val="1"/>
      </rPr>
      <t xml:space="preserve">3</t>
    </r>
    <r>
      <rPr>
        <sz val="8.5"/>
        <color rgb="FFC00000"/>
        <rFont val="Noto Sans CJK SC"/>
        <family val="2"/>
      </rPr>
      <t xml:space="preserve">年后</t>
    </r>
    <r>
      <rPr>
        <sz val="8.5"/>
        <color rgb="FFC00000"/>
        <rFont val="KaiTi"/>
        <family val="0"/>
        <charset val="1"/>
      </rPr>
      <t xml:space="preserve">EPS×PE</t>
    </r>
    <r>
      <rPr>
        <sz val="8.5"/>
        <color rgb="FFC00000"/>
        <rFont val="Noto Sans CJK SC"/>
        <family val="2"/>
      </rPr>
      <t xml:space="preserve">当长期研究</t>
    </r>
  </si>
  <si>
    <t xml:space="preserve">唯一要回答的问题</t>
  </si>
  <si>
    <t xml:space="preserve">这是什么生意、终局什么样、剩余利润归谁</t>
  </si>
  <si>
    <t xml:space="preserve">一句话说清商业模式与利润归属</t>
  </si>
  <si>
    <t xml:space="preserve">—</t>
  </si>
  <si>
    <t xml:space="preserve">说不清即仍在做中期</t>
  </si>
  <si>
    <t xml:space="preserve">用「空间大」代替「生意好」</t>
  </si>
  <si>
    <t xml:space="preserve">精度要求</t>
  </si>
  <si>
    <r>
      <rPr>
        <sz val="9"/>
        <color rgb="FF0000FF"/>
        <rFont val="Noto Sans CJK SC"/>
        <family val="2"/>
      </rPr>
      <t xml:space="preserve">方向对、数量级对即可（终局</t>
    </r>
    <r>
      <rPr>
        <sz val="9"/>
        <color rgb="FF0000FF"/>
        <rFont val="KaiTi"/>
        <family val="0"/>
        <charset val="1"/>
      </rPr>
      <t xml:space="preserve">OPM</t>
    </r>
    <r>
      <rPr>
        <sz val="9"/>
        <color rgb="FF0000FF"/>
        <rFont val="Noto Sans CJK SC"/>
        <family val="2"/>
      </rPr>
      <t xml:space="preserve">是</t>
    </r>
    <r>
      <rPr>
        <sz val="9"/>
        <color rgb="FF0000FF"/>
        <rFont val="KaiTi"/>
        <family val="0"/>
        <charset val="1"/>
      </rPr>
      <t xml:space="preserve">15%</t>
    </r>
    <r>
      <rPr>
        <sz val="9"/>
        <color rgb="FF0000FF"/>
        <rFont val="Noto Sans CJK SC"/>
        <family val="2"/>
      </rPr>
      <t xml:space="preserve">还是</t>
    </r>
    <r>
      <rPr>
        <sz val="9"/>
        <color rgb="FF0000FF"/>
        <rFont val="KaiTi"/>
        <family val="0"/>
        <charset val="1"/>
      </rPr>
      <t xml:space="preserve">30%</t>
    </r>
    <r>
      <rPr>
        <sz val="9"/>
        <color rgb="FF0000FF"/>
        <rFont val="Noto Sans CJK SC"/>
        <family val="2"/>
      </rPr>
      <t xml:space="preserve">的量级）</t>
    </r>
  </si>
  <si>
    <r>
      <rPr>
        <sz val="8.5"/>
        <color rgb="FF000000"/>
        <rFont val="Noto Sans CJK SC"/>
        <family val="2"/>
      </rPr>
      <t xml:space="preserve">允许</t>
    </r>
    <r>
      <rPr>
        <sz val="8.5"/>
        <color rgb="FF000000"/>
        <rFont val="KaiTi"/>
        <family val="0"/>
        <charset val="1"/>
      </rPr>
      <t xml:space="preserve">±30%</t>
    </r>
    <r>
      <rPr>
        <sz val="8.5"/>
        <color rgb="FF000000"/>
        <rFont val="Noto Sans CJK SC"/>
        <family val="2"/>
      </rPr>
      <t xml:space="preserve">误差，不允许量级错</t>
    </r>
  </si>
  <si>
    <r>
      <rPr>
        <sz val="8.5"/>
        <color rgb="FF000000"/>
        <rFont val="Noto Sans CJK SC"/>
        <family val="2"/>
      </rPr>
      <t xml:space="preserve">追小数点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浪费</t>
    </r>
  </si>
  <si>
    <t xml:space="preserve">用中期精度做长期判断</t>
  </si>
  <si>
    <r>
      <rPr>
        <b val="true"/>
        <sz val="9"/>
        <color rgb="FF000000"/>
        <rFont val="KaiTi"/>
        <family val="0"/>
        <charset val="1"/>
      </rPr>
      <t xml:space="preserve">R:M:f </t>
    </r>
    <r>
      <rPr>
        <b val="true"/>
        <sz val="9"/>
        <color rgb="FF000000"/>
        <rFont val="Noto Sans CJK SC"/>
        <family val="2"/>
      </rPr>
      <t xml:space="preserve">权重</t>
    </r>
  </si>
  <si>
    <r>
      <rPr>
        <sz val="9"/>
        <color rgb="FF0000FF"/>
        <rFont val="KaiTi"/>
        <family val="0"/>
        <charset val="1"/>
      </rPr>
      <t xml:space="preserve">70 : 20 : 10 —— </t>
    </r>
    <r>
      <rPr>
        <sz val="9"/>
        <color rgb="FF0000FF"/>
        <rFont val="Noto Sans CJK SC"/>
        <family val="2"/>
      </rPr>
      <t xml:space="preserve">现实层压倒一切</t>
    </r>
  </si>
  <si>
    <r>
      <rPr>
        <sz val="8.5"/>
        <color rgb="FF000000"/>
        <rFont val="KaiTi"/>
        <family val="0"/>
        <charset val="1"/>
      </rPr>
      <t xml:space="preserve">M+f</t>
    </r>
    <r>
      <rPr>
        <sz val="8.5"/>
        <color rgb="FF000000"/>
        <rFont val="Noto Sans CJK SC"/>
        <family val="2"/>
      </rPr>
      <t xml:space="preserve">合计不应超过</t>
    </r>
    <r>
      <rPr>
        <sz val="8.5"/>
        <color rgb="FF000000"/>
        <rFont val="KaiTi"/>
        <family val="0"/>
        <charset val="1"/>
      </rPr>
      <t xml:space="preserve">30%</t>
    </r>
  </si>
  <si>
    <t xml:space="preserve">长期头寸天天盯筹码</t>
  </si>
  <si>
    <t xml:space="preserve">半衰期与复检</t>
  </si>
  <si>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年；到期强制重检或降级为背景</t>
    </r>
  </si>
  <si>
    <r>
      <rPr>
        <sz val="8.5"/>
        <color rgb="FF000000"/>
        <rFont val="Noto Sans CJK SC"/>
        <family val="2"/>
      </rPr>
      <t xml:space="preserve">结论</t>
    </r>
    <r>
      <rPr>
        <sz val="8.5"/>
        <color rgb="FF000000"/>
        <rFont val="KaiTi"/>
        <family val="0"/>
        <charset val="1"/>
      </rPr>
      <t xml:space="preserve">&gt;24</t>
    </r>
    <r>
      <rPr>
        <sz val="8.5"/>
        <color rgb="FF000000"/>
        <rFont val="Noto Sans CJK SC"/>
        <family val="2"/>
      </rPr>
      <t xml:space="preserve">个月未复检即自动降级</t>
    </r>
  </si>
  <si>
    <t xml:space="preserve">结论台账</t>
  </si>
  <si>
    <t xml:space="preserve">漏检</t>
  </si>
  <si>
    <t xml:space="preserve">建仓后不再复检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</si>
  <si>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B </t>
    </r>
    <r>
      <rPr>
        <b val="true"/>
        <sz val="10.5"/>
        <color rgb="FF1F3864"/>
        <rFont val="Noto Sans CJK SC"/>
        <family val="2"/>
      </rPr>
      <t xml:space="preserve">生意类型判定</t>
    </r>
  </si>
  <si>
    <r>
      <rPr>
        <sz val="8.5"/>
        <color rgb="FF7F7F7F"/>
        <rFont val="KaiTi"/>
        <family val="0"/>
        <charset val="1"/>
      </rPr>
      <t xml:space="preserve">B </t>
    </r>
    <r>
      <rPr>
        <sz val="8.5"/>
        <color rgb="FF7F7F7F"/>
        <rFont val="Noto Sans CJK SC"/>
        <family val="2"/>
      </rPr>
      <t xml:space="preserve">生意类型判定</t>
    </r>
  </si>
  <si>
    <t xml:space="preserve">商业模式原型</t>
  </si>
  <si>
    <r>
      <rPr>
        <sz val="9"/>
        <color rgb="FF0000FF"/>
        <rFont val="Noto Sans CJK SC"/>
        <family val="2"/>
      </rPr>
      <t xml:space="preserve">一次性硬件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耗材复购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订阅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用量计费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项目制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资产型</t>
    </r>
  </si>
  <si>
    <r>
      <rPr>
        <sz val="8.5"/>
        <color rgb="FF000000"/>
        <rFont val="Noto Sans CJK SC"/>
        <family val="2"/>
      </rPr>
      <t xml:space="preserve">可重复收入</t>
    </r>
    <r>
      <rPr>
        <sz val="8.5"/>
        <color rgb="FF000000"/>
        <rFont val="KaiTi"/>
        <family val="0"/>
        <charset val="1"/>
      </rPr>
      <t xml:space="preserve">&gt;60%</t>
    </r>
    <r>
      <rPr>
        <sz val="8.5"/>
        <color rgb="FF000000"/>
        <rFont val="Noto Sans CJK SC"/>
        <family val="2"/>
      </rPr>
      <t xml:space="preserve">才算复购型</t>
    </r>
  </si>
  <si>
    <r>
      <rPr>
        <sz val="8.5"/>
        <color rgb="FF7F7F7F"/>
        <rFont val="Noto Sans CJK SC"/>
        <family val="2"/>
      </rPr>
      <t xml:space="preserve">财报分部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招股书</t>
    </r>
  </si>
  <si>
    <t xml:space="preserve">模式被技术改写</t>
  </si>
  <si>
    <t xml:space="preserve">把项目制按订阅估值</t>
  </si>
  <si>
    <t xml:space="preserve">收入天花板的物理量</t>
  </si>
  <si>
    <r>
      <rPr>
        <sz val="9"/>
        <color rgb="FF0000FF"/>
        <rFont val="Noto Sans CJK SC"/>
        <family val="2"/>
      </rPr>
      <t xml:space="preserve">必须落到一个物理量：存量</t>
    </r>
    <r>
      <rPr>
        <sz val="9"/>
        <color rgb="FF0000FF"/>
        <rFont val="KaiTi"/>
        <family val="0"/>
        <charset val="1"/>
      </rPr>
      <t xml:space="preserve">×</t>
    </r>
    <r>
      <rPr>
        <sz val="9"/>
        <color rgb="FF0000FF"/>
        <rFont val="Noto Sans CJK SC"/>
        <family val="2"/>
      </rPr>
      <t xml:space="preserve">渗透率</t>
    </r>
    <r>
      <rPr>
        <sz val="9"/>
        <color rgb="FF0000FF"/>
        <rFont val="KaiTi"/>
        <family val="0"/>
        <charset val="1"/>
      </rPr>
      <t xml:space="preserve">×</t>
    </r>
    <r>
      <rPr>
        <sz val="9"/>
        <color rgb="FF0000FF"/>
        <rFont val="Noto Sans CJK SC"/>
        <family val="2"/>
      </rPr>
      <t xml:space="preserve">单位用量</t>
    </r>
    <r>
      <rPr>
        <sz val="9"/>
        <color rgb="FF0000FF"/>
        <rFont val="KaiTi"/>
        <family val="0"/>
        <charset val="1"/>
      </rPr>
      <t xml:space="preserve">×</t>
    </r>
    <r>
      <rPr>
        <sz val="9"/>
        <color rgb="FF0000FF"/>
        <rFont val="Noto Sans CJK SC"/>
        <family val="2"/>
      </rPr>
      <t xml:space="preserve">替换频率</t>
    </r>
  </si>
  <si>
    <t xml:space="preserve">四个因子都能给出数字</t>
  </si>
  <si>
    <r>
      <rPr>
        <sz val="8.5"/>
        <color rgb="FF7F7F7F"/>
        <rFont val="Noto Sans CJK SC"/>
        <family val="2"/>
      </rPr>
      <t xml:space="preserve">行业协会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官方统计</t>
    </r>
  </si>
  <si>
    <t xml:space="preserve">物理量本身被替代</t>
  </si>
  <si>
    <r>
      <rPr>
        <sz val="8.5"/>
        <color rgb="FFC00000"/>
        <rFont val="Noto Sans CJK SC"/>
        <family val="2"/>
      </rPr>
      <t xml:space="preserve">用金额</t>
    </r>
    <r>
      <rPr>
        <sz val="8.5"/>
        <color rgb="FFC00000"/>
        <rFont val="KaiTi"/>
        <family val="0"/>
        <charset val="1"/>
      </rPr>
      <t xml:space="preserve">TAM</t>
    </r>
    <r>
      <rPr>
        <sz val="8.5"/>
        <color rgb="FFC00000"/>
        <rFont val="Noto Sans CJK SC"/>
        <family val="2"/>
      </rPr>
      <t xml:space="preserve">代替物理</t>
    </r>
    <r>
      <rPr>
        <sz val="8.5"/>
        <color rgb="FFC00000"/>
        <rFont val="KaiTi"/>
        <family val="0"/>
        <charset val="1"/>
      </rPr>
      <t xml:space="preserve">TAM</t>
    </r>
  </si>
  <si>
    <r>
      <rPr>
        <b val="true"/>
        <sz val="9"/>
        <color rgb="FF000000"/>
        <rFont val="Noto Sans CJK SC"/>
        <family val="2"/>
      </rPr>
      <t xml:space="preserve">单位经济 </t>
    </r>
    <r>
      <rPr>
        <b val="true"/>
        <sz val="9"/>
        <color rgb="FF000000"/>
        <rFont val="KaiTi"/>
        <family val="0"/>
        <charset val="1"/>
      </rPr>
      <t xml:space="preserve">UE</t>
    </r>
  </si>
  <si>
    <r>
      <rPr>
        <sz val="9"/>
        <color rgb="FF0000FF"/>
        <rFont val="Noto Sans CJK SC"/>
        <family val="2"/>
      </rPr>
      <t xml:space="preserve">单台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单吨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单</t>
    </r>
    <r>
      <rPr>
        <sz val="9"/>
        <color rgb="FF0000FF"/>
        <rFont val="KaiTi"/>
        <family val="0"/>
        <charset val="1"/>
      </rPr>
      <t xml:space="preserve">GW </t>
    </r>
    <r>
      <rPr>
        <sz val="9"/>
        <color rgb="FF0000FF"/>
        <rFont val="Noto Sans CJK SC"/>
        <family val="2"/>
      </rPr>
      <t xml:space="preserve">的收入、成本、贡献利润</t>
    </r>
  </si>
  <si>
    <r>
      <rPr>
        <sz val="8.5"/>
        <color rgb="FF000000"/>
        <rFont val="KaiTi"/>
        <family val="0"/>
        <charset val="1"/>
      </rPr>
      <t xml:space="preserve">UE</t>
    </r>
    <r>
      <rPr>
        <sz val="8.5"/>
        <color rgb="FF000000"/>
        <rFont val="Noto Sans CJK SC"/>
        <family val="2"/>
      </rPr>
      <t xml:space="preserve">稳定后能否覆盖固定成本</t>
    </r>
  </si>
  <si>
    <r>
      <rPr>
        <sz val="8.5"/>
        <color rgb="FF7F7F7F"/>
        <rFont val="Noto Sans CJK SC"/>
        <family val="2"/>
      </rPr>
      <t xml:space="preserve">招股书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拆机</t>
    </r>
    <r>
      <rPr>
        <sz val="8.5"/>
        <color rgb="FF7F7F7F"/>
        <rFont val="KaiTi"/>
        <family val="0"/>
        <charset val="1"/>
      </rPr>
      <t xml:space="preserve">BOM</t>
    </r>
  </si>
  <si>
    <r>
      <rPr>
        <sz val="8.5"/>
        <color rgb="FF000000"/>
        <rFont val="KaiTi"/>
        <family val="0"/>
        <charset val="1"/>
      </rPr>
      <t xml:space="preserve">UE</t>
    </r>
    <r>
      <rPr>
        <sz val="8.5"/>
        <color rgb="FF000000"/>
        <rFont val="Noto Sans CJK SC"/>
        <family val="2"/>
      </rPr>
      <t xml:space="preserve">随规模不改善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非规模生意</t>
    </r>
  </si>
  <si>
    <r>
      <rPr>
        <sz val="8.5"/>
        <color rgb="FFC00000"/>
        <rFont val="Noto Sans CJK SC"/>
        <family val="2"/>
      </rPr>
      <t xml:space="preserve">只看毛利率不看</t>
    </r>
    <r>
      <rPr>
        <sz val="8.5"/>
        <color rgb="FFC00000"/>
        <rFont val="KaiTi"/>
        <family val="0"/>
        <charset val="1"/>
      </rPr>
      <t xml:space="preserve">UE</t>
    </r>
  </si>
  <si>
    <t xml:space="preserve">规模效应的来源</t>
  </si>
  <si>
    <r>
      <rPr>
        <sz val="9"/>
        <color rgb="FF0000FF"/>
        <rFont val="Noto Sans CJK SC"/>
        <family val="2"/>
      </rPr>
      <t xml:space="preserve">采购议价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固定成本摊薄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学习曲线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网络效应——必须指名</t>
    </r>
  </si>
  <si>
    <r>
      <rPr>
        <sz val="8.5"/>
        <color rgb="FF000000"/>
        <rFont val="Noto Sans CJK SC"/>
        <family val="2"/>
      </rPr>
      <t xml:space="preserve">说不出来源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没有规模效应</t>
    </r>
  </si>
  <si>
    <r>
      <rPr>
        <sz val="8.5"/>
        <color rgb="FF7F7F7F"/>
        <rFont val="Noto Sans CJK SC"/>
        <family val="2"/>
      </rPr>
      <t xml:space="preserve">毛利率</t>
    </r>
    <r>
      <rPr>
        <sz val="8.5"/>
        <color rgb="FF7F7F7F"/>
        <rFont val="KaiTi"/>
        <family val="0"/>
        <charset val="1"/>
      </rPr>
      <t xml:space="preserve">vs</t>
    </r>
    <r>
      <rPr>
        <sz val="8.5"/>
        <color rgb="FF7F7F7F"/>
        <rFont val="Noto Sans CJK SC"/>
        <family val="2"/>
      </rPr>
      <t xml:space="preserve">累计产量曲线</t>
    </r>
  </si>
  <si>
    <t xml:space="preserve">曲线走平</t>
  </si>
  <si>
    <t xml:space="preserve">把「规模大」当「有规模效应」</t>
  </si>
  <si>
    <t xml:space="preserve">现金转化</t>
  </si>
  <si>
    <t xml:space="preserve">利润→自由现金流的漏损（应收、存货、资本开支）</t>
  </si>
  <si>
    <r>
      <rPr>
        <sz val="8.5"/>
        <color rgb="FF000000"/>
        <rFont val="KaiTi"/>
        <family val="0"/>
        <charset val="1"/>
      </rPr>
      <t xml:space="preserve">FCF/</t>
    </r>
    <r>
      <rPr>
        <sz val="8.5"/>
        <color rgb="FF000000"/>
        <rFont val="Noto Sans CJK SC"/>
        <family val="2"/>
      </rPr>
      <t xml:space="preserve">净利润 长期中枢</t>
    </r>
    <r>
      <rPr>
        <sz val="8.5"/>
        <color rgb="FF000000"/>
        <rFont val="KaiTi"/>
        <family val="0"/>
        <charset val="1"/>
      </rPr>
      <t xml:space="preserve">&gt;60%</t>
    </r>
  </si>
  <si>
    <t xml:space="preserve">历史现金流量表</t>
  </si>
  <si>
    <t xml:space="preserve">比值持续下滑</t>
  </si>
  <si>
    <t xml:space="preserve">只看利润表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</si>
  <si>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C </t>
    </r>
    <r>
      <rPr>
        <b val="true"/>
        <sz val="10.5"/>
        <color rgb="FF1F3864"/>
        <rFont val="Noto Sans CJK SC"/>
        <family val="2"/>
      </rPr>
      <t xml:space="preserve">格局（长期第一变量）</t>
    </r>
  </si>
  <si>
    <r>
      <rPr>
        <sz val="8.5"/>
        <color rgb="FF7F7F7F"/>
        <rFont val="KaiTi"/>
        <family val="0"/>
        <charset val="1"/>
      </rPr>
      <t xml:space="preserve">C </t>
    </r>
    <r>
      <rPr>
        <sz val="8.5"/>
        <color rgb="FF7F7F7F"/>
        <rFont val="Noto Sans CJK SC"/>
        <family val="2"/>
      </rPr>
      <t xml:space="preserve">格局（长期第一变量）</t>
    </r>
  </si>
  <si>
    <t xml:space="preserve">定价权归属</t>
  </si>
  <si>
    <t xml:space="preserve">价格由谁发起、其他人跟不跟</t>
  </si>
  <si>
    <r>
      <rPr>
        <sz val="8.5"/>
        <color rgb="FF000000"/>
        <rFont val="Noto Sans CJK SC"/>
        <family val="2"/>
      </rPr>
      <t xml:space="preserve">龙头提价后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个月内二线跟随率</t>
    </r>
  </si>
  <si>
    <r>
      <rPr>
        <sz val="8.5"/>
        <color rgb="FF7F7F7F"/>
        <rFont val="Noto Sans CJK SC"/>
        <family val="2"/>
      </rPr>
      <t xml:space="preserve">现货价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招标价</t>
    </r>
  </si>
  <si>
    <t xml:space="preserve">龙头提价无人跟随</t>
  </si>
  <si>
    <r>
      <rPr>
        <sz val="8.5"/>
        <color rgb="FFC00000"/>
        <rFont val="Noto Sans CJK SC"/>
        <family val="2"/>
      </rPr>
      <t xml:space="preserve">用</t>
    </r>
    <r>
      <rPr>
        <sz val="8.5"/>
        <color rgb="FFC00000"/>
        <rFont val="KaiTi"/>
        <family val="0"/>
        <charset val="1"/>
      </rPr>
      <t xml:space="preserve">CR3</t>
    </r>
    <r>
      <rPr>
        <sz val="8.5"/>
        <color rgb="FFC00000"/>
        <rFont val="Noto Sans CJK SC"/>
        <family val="2"/>
      </rPr>
      <t xml:space="preserve">代替定价权</t>
    </r>
  </si>
  <si>
    <t xml:space="preserve">下行期谁先降价</t>
  </si>
  <si>
    <t xml:space="preserve">需求下行时谁能不降价——格局的唯一硬测试</t>
  </si>
  <si>
    <t xml:space="preserve">上一轮下行周期各家价格曲线</t>
  </si>
  <si>
    <r>
      <rPr>
        <sz val="8.5"/>
        <color rgb="FF7F7F7F"/>
        <rFont val="Noto Sans CJK SC"/>
        <family val="2"/>
      </rPr>
      <t xml:space="preserve">历史价格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毛利率</t>
    </r>
  </si>
  <si>
    <t xml:space="preserve">龙头率先降价保份额</t>
  </si>
  <si>
    <t xml:space="preserve">只看上行期表现</t>
  </si>
  <si>
    <t xml:space="preserve">进入壁垒三要素</t>
  </si>
  <si>
    <r>
      <rPr>
        <sz val="9"/>
        <color rgb="FF0000FF"/>
        <rFont val="Noto Sans CJK SC"/>
        <family val="2"/>
      </rPr>
      <t xml:space="preserve">资本开支强度 </t>
    </r>
    <r>
      <rPr>
        <sz val="9"/>
        <color rgb="FF0000FF"/>
        <rFont val="KaiTi"/>
        <family val="0"/>
        <charset val="1"/>
      </rPr>
      <t xml:space="preserve">× </t>
    </r>
    <r>
      <rPr>
        <sz val="9"/>
        <color rgb="FF0000FF"/>
        <rFont val="Noto Sans CJK SC"/>
        <family val="2"/>
      </rPr>
      <t xml:space="preserve">学习曲线陡度 </t>
    </r>
    <r>
      <rPr>
        <sz val="9"/>
        <color rgb="FF0000FF"/>
        <rFont val="KaiTi"/>
        <family val="0"/>
        <charset val="1"/>
      </rPr>
      <t xml:space="preserve">× </t>
    </r>
    <r>
      <rPr>
        <sz val="9"/>
        <color rgb="FF0000FF"/>
        <rFont val="Noto Sans CJK SC"/>
        <family val="2"/>
      </rPr>
      <t xml:space="preserve">认证周期</t>
    </r>
  </si>
  <si>
    <t xml:space="preserve">三者皆高→寡头；仅一项高→易破</t>
  </si>
  <si>
    <r>
      <rPr>
        <sz val="8.5"/>
        <color rgb="FF7F7F7F"/>
        <rFont val="Noto Sans CJK SC"/>
        <family val="2"/>
      </rPr>
      <t xml:space="preserve">招股书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扩产公告</t>
    </r>
  </si>
  <si>
    <r>
      <rPr>
        <sz val="8.5"/>
        <color rgb="FF000000"/>
        <rFont val="Noto Sans CJK SC"/>
        <family val="2"/>
      </rPr>
      <t xml:space="preserve">二线以更低</t>
    </r>
    <r>
      <rPr>
        <sz val="8.5"/>
        <color rgb="FF000000"/>
        <rFont val="KaiTi"/>
        <family val="0"/>
        <charset val="1"/>
      </rPr>
      <t xml:space="preserve">capex</t>
    </r>
    <r>
      <rPr>
        <sz val="8.5"/>
        <color rgb="FF000000"/>
        <rFont val="Noto Sans CJK SC"/>
        <family val="2"/>
      </rPr>
      <t xml:space="preserve">进入</t>
    </r>
  </si>
  <si>
    <t xml:space="preserve">把「技术难」当壁垒</t>
  </si>
  <si>
    <t xml:space="preserve">客户转换成本</t>
  </si>
  <si>
    <r>
      <rPr>
        <sz val="9"/>
        <color rgb="FF0000FF"/>
        <rFont val="Noto Sans CJK SC"/>
        <family val="2"/>
      </rPr>
      <t xml:space="preserve">切换是否需重新认证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重写软件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重做设计</t>
    </r>
  </si>
  <si>
    <r>
      <rPr>
        <sz val="8.5"/>
        <color rgb="FF000000"/>
        <rFont val="Noto Sans CJK SC"/>
        <family val="2"/>
      </rPr>
      <t xml:space="preserve">认证周期</t>
    </r>
    <r>
      <rPr>
        <sz val="8.5"/>
        <color rgb="FF000000"/>
        <rFont val="KaiTi"/>
        <family val="0"/>
        <charset val="1"/>
      </rPr>
      <t xml:space="preserve">&gt;12</t>
    </r>
    <r>
      <rPr>
        <sz val="8.5"/>
        <color rgb="FF000000"/>
        <rFont val="Noto Sans CJK SC"/>
        <family val="2"/>
      </rPr>
      <t xml:space="preserve">个月即高转换成本</t>
    </r>
  </si>
  <si>
    <t xml:space="preserve">一手渠道</t>
  </si>
  <si>
    <t xml:space="preserve">客户导入二供</t>
  </si>
  <si>
    <t xml:space="preserve">把「合作久」当转换成本</t>
  </si>
  <si>
    <t xml:space="preserve">上下游相对集中度</t>
  </si>
  <si>
    <r>
      <rPr>
        <sz val="9"/>
        <color rgb="FF0000FF"/>
        <rFont val="Noto Sans CJK SC"/>
        <family val="2"/>
      </rPr>
      <t xml:space="preserve">买方集中度</t>
    </r>
    <r>
      <rPr>
        <sz val="9"/>
        <color rgb="FF0000FF"/>
        <rFont val="KaiTi"/>
        <family val="0"/>
        <charset val="1"/>
      </rPr>
      <t xml:space="preserve">&gt;</t>
    </r>
    <r>
      <rPr>
        <sz val="9"/>
        <color rgb="FF0000FF"/>
        <rFont val="Noto Sans CJK SC"/>
        <family val="2"/>
      </rPr>
      <t xml:space="preserve">卖方集中度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利润被结构性吸走</t>
    </r>
  </si>
  <si>
    <r>
      <rPr>
        <sz val="8.5"/>
        <color rgb="FF000000"/>
        <rFont val="Noto Sans CJK SC"/>
        <family val="2"/>
      </rPr>
      <t xml:space="preserve">前五大客户占比 </t>
    </r>
    <r>
      <rPr>
        <sz val="8.5"/>
        <color rgb="FF000000"/>
        <rFont val="KaiTi"/>
        <family val="0"/>
        <charset val="1"/>
      </rPr>
      <t xml:space="preserve">vs </t>
    </r>
    <r>
      <rPr>
        <sz val="8.5"/>
        <color rgb="FF000000"/>
        <rFont val="Noto Sans CJK SC"/>
        <family val="2"/>
      </rPr>
      <t xml:space="preserve">本环节</t>
    </r>
    <r>
      <rPr>
        <sz val="8.5"/>
        <color rgb="FF000000"/>
        <rFont val="KaiTi"/>
        <family val="0"/>
        <charset val="1"/>
      </rPr>
      <t xml:space="preserve">CR5</t>
    </r>
  </si>
  <si>
    <t xml:space="preserve">财报客户集中度</t>
  </si>
  <si>
    <t xml:space="preserve">客户启动自研</t>
  </si>
  <si>
    <t xml:space="preserve">只看自己环节的集中度</t>
  </si>
  <si>
    <t xml:space="preserve">产能可分割性</t>
  </si>
  <si>
    <t xml:space="preserve">能否小步扩产——能则易过剩，须整厂上则供给天然受限</t>
  </si>
  <si>
    <t xml:space="preserve">最小经济规模占行业总量比重</t>
  </si>
  <si>
    <r>
      <rPr>
        <sz val="8.5"/>
        <color rgb="FF7F7F7F"/>
        <rFont val="Noto Sans CJK SC"/>
        <family val="2"/>
      </rPr>
      <t xml:space="preserve">设备商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项目公告</t>
    </r>
  </si>
  <si>
    <t xml:space="preserve">出现小型化路线</t>
  </si>
  <si>
    <t xml:space="preserve">忽略最小经济规模</t>
  </si>
  <si>
    <r>
      <rPr>
        <b val="true"/>
        <sz val="9"/>
        <color rgb="FF000000"/>
        <rFont val="Noto Sans CJK SC"/>
        <family val="2"/>
      </rPr>
      <t xml:space="preserve">外生资本扰动【</t>
    </r>
    <r>
      <rPr>
        <b val="true"/>
        <sz val="9"/>
        <color rgb="FF000000"/>
        <rFont val="KaiTi"/>
        <family val="0"/>
        <charset val="1"/>
      </rPr>
      <t xml:space="preserve">A</t>
    </r>
    <r>
      <rPr>
        <b val="true"/>
        <sz val="9"/>
        <color rgb="FF000000"/>
        <rFont val="Noto Sans CJK SC"/>
        <family val="2"/>
      </rPr>
      <t xml:space="preserve">股关键】</t>
    </r>
  </si>
  <si>
    <r>
      <rPr>
        <sz val="9"/>
        <color rgb="FF0000FF"/>
        <rFont val="Noto Sans CJK SC"/>
        <family val="2"/>
      </rPr>
      <t xml:space="preserve">补贴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地方招商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一级热钱人为压低壁垒，把寡头打成完全竞争</t>
    </r>
  </si>
  <si>
    <t xml:space="preserve">是否入地方招商目录、一级融资笔数</t>
  </si>
  <si>
    <r>
      <rPr>
        <sz val="8.5"/>
        <color rgb="FF7F7F7F"/>
        <rFont val="Noto Sans CJK SC"/>
        <family val="2"/>
      </rPr>
      <t xml:space="preserve">政策库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融资数据库</t>
    </r>
  </si>
  <si>
    <t xml:space="preserve">补贴退坡后二线退出</t>
  </si>
  <si>
    <r>
      <rPr>
        <sz val="8.5"/>
        <color rgb="FFC00000"/>
        <rFont val="Noto Sans CJK SC"/>
        <family val="2"/>
      </rPr>
      <t xml:space="preserve">用海外格局直接套</t>
    </r>
    <r>
      <rPr>
        <sz val="8.5"/>
        <color rgb="FFC00000"/>
        <rFont val="KaiTi"/>
        <family val="0"/>
        <charset val="1"/>
      </rPr>
      <t xml:space="preserve">A</t>
    </r>
    <r>
      <rPr>
        <sz val="8.5"/>
        <color rgb="FFC00000"/>
        <rFont val="Noto Sans CJK SC"/>
        <family val="2"/>
      </rPr>
      <t xml:space="preserve">股</t>
    </r>
  </si>
  <si>
    <t xml:space="preserve">差异化维度数</t>
  </si>
  <si>
    <r>
      <rPr>
        <sz val="9"/>
        <color rgb="FF0000FF"/>
        <rFont val="Noto Sans CJK SC"/>
        <family val="2"/>
      </rPr>
      <t xml:space="preserve">只有价格一个维度→大宗化；多维度（性能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良率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交期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服务）→可差异化</t>
    </r>
  </si>
  <si>
    <r>
      <rPr>
        <sz val="8.5"/>
        <color rgb="FF000000"/>
        <rFont val="Noto Sans CJK SC"/>
        <family val="2"/>
      </rPr>
      <t xml:space="preserve">可差异化维度≥</t>
    </r>
    <r>
      <rPr>
        <sz val="8.5"/>
        <color rgb="FF000000"/>
        <rFont val="KaiTi"/>
        <family val="0"/>
        <charset val="1"/>
      </rPr>
      <t xml:space="preserve">2 </t>
    </r>
    <r>
      <rPr>
        <sz val="8.5"/>
        <color rgb="FF000000"/>
        <rFont val="Noto Sans CJK SC"/>
        <family val="2"/>
      </rPr>
      <t xml:space="preserve">才有定价空间</t>
    </r>
  </si>
  <si>
    <t xml:space="preserve">客户采购标准</t>
  </si>
  <si>
    <t xml:space="preserve">维度收敛为只剩价格</t>
  </si>
  <si>
    <t xml:space="preserve">把技术参数领先当差异化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</si>
  <si>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D </t>
    </r>
    <r>
      <rPr>
        <b val="true"/>
        <sz val="10.5"/>
        <color rgb="FF1F3864"/>
        <rFont val="Noto Sans CJK SC"/>
        <family val="2"/>
      </rPr>
      <t xml:space="preserve">终局利润率</t>
    </r>
  </si>
  <si>
    <r>
      <rPr>
        <sz val="8.5"/>
        <color rgb="FF7F7F7F"/>
        <rFont val="KaiTi"/>
        <family val="0"/>
        <charset val="1"/>
      </rPr>
      <t xml:space="preserve">D </t>
    </r>
    <r>
      <rPr>
        <sz val="8.5"/>
        <color rgb="FF7F7F7F"/>
        <rFont val="Noto Sans CJK SC"/>
        <family val="2"/>
      </rPr>
      <t xml:space="preserve">终局利润率</t>
    </r>
  </si>
  <si>
    <r>
      <rPr>
        <b val="true"/>
        <sz val="9"/>
        <color rgb="FF000000"/>
        <rFont val="Noto Sans CJK SC"/>
        <family val="2"/>
      </rPr>
      <t xml:space="preserve">终局</t>
    </r>
    <r>
      <rPr>
        <b val="true"/>
        <sz val="9"/>
        <color rgb="FF000000"/>
        <rFont val="KaiTi"/>
        <family val="0"/>
        <charset val="1"/>
      </rPr>
      <t xml:space="preserve">OPM</t>
    </r>
    <r>
      <rPr>
        <b val="true"/>
        <sz val="9"/>
        <color rgb="FF000000"/>
        <rFont val="Noto Sans CJK SC"/>
        <family val="2"/>
      </rPr>
      <t xml:space="preserve">量级</t>
    </r>
  </si>
  <si>
    <r>
      <rPr>
        <sz val="9"/>
        <color rgb="FF0000FF"/>
        <rFont val="Noto Sans CJK SC"/>
        <family val="2"/>
      </rPr>
      <t xml:space="preserve">由格局形态直接决定，见 </t>
    </r>
    <r>
      <rPr>
        <sz val="9"/>
        <color rgb="FF0000FF"/>
        <rFont val="KaiTi"/>
        <family val="0"/>
        <charset val="1"/>
      </rPr>
      <t xml:space="preserve">03 </t>
    </r>
    <r>
      <rPr>
        <sz val="9"/>
        <color rgb="FF0000FF"/>
        <rFont val="Noto Sans CJK SC"/>
        <family val="2"/>
      </rPr>
      <t xml:space="preserve">表对照</t>
    </r>
  </si>
  <si>
    <r>
      <rPr>
        <sz val="8.5"/>
        <color rgb="FF000000"/>
        <rFont val="KaiTi"/>
        <family val="0"/>
        <charset val="1"/>
      </rPr>
      <t xml:space="preserve">5%/12%/18%/28%/35% </t>
    </r>
    <r>
      <rPr>
        <sz val="8.5"/>
        <color rgb="FF000000"/>
        <rFont val="Noto Sans CJK SC"/>
        <family val="2"/>
      </rPr>
      <t xml:space="preserve">五档</t>
    </r>
  </si>
  <si>
    <r>
      <rPr>
        <sz val="8.5"/>
        <color rgb="FF7F7F7F"/>
        <rFont val="KaiTi"/>
        <family val="0"/>
        <charset val="1"/>
      </rPr>
      <t xml:space="preserve">03_</t>
    </r>
    <r>
      <rPr>
        <sz val="8.5"/>
        <color rgb="FF7F7F7F"/>
        <rFont val="Noto Sans CJK SC"/>
        <family val="2"/>
      </rPr>
      <t xml:space="preserve">格局判定</t>
    </r>
  </si>
  <si>
    <t xml:space="preserve">格局形态被证伪</t>
  </si>
  <si>
    <r>
      <rPr>
        <sz val="8.5"/>
        <color rgb="FFC00000"/>
        <rFont val="Noto Sans CJK SC"/>
        <family val="2"/>
      </rPr>
      <t xml:space="preserve">用当期高峰</t>
    </r>
    <r>
      <rPr>
        <sz val="8.5"/>
        <color rgb="FFC00000"/>
        <rFont val="KaiTi"/>
        <family val="0"/>
        <charset val="1"/>
      </rPr>
      <t xml:space="preserve">OPM</t>
    </r>
    <r>
      <rPr>
        <sz val="8.5"/>
        <color rgb="FFC00000"/>
        <rFont val="Noto Sans CJK SC"/>
        <family val="2"/>
      </rPr>
      <t xml:space="preserve">外推</t>
    </r>
  </si>
  <si>
    <t xml:space="preserve">超额利润能否穿越周期</t>
  </si>
  <si>
    <r>
      <rPr>
        <sz val="9"/>
        <color rgb="FF0000FF"/>
        <rFont val="Noto Sans CJK SC"/>
        <family val="2"/>
      </rPr>
      <t xml:space="preserve">周期底部</t>
    </r>
    <r>
      <rPr>
        <sz val="9"/>
        <color rgb="FF0000FF"/>
        <rFont val="KaiTi"/>
        <family val="0"/>
        <charset val="1"/>
      </rPr>
      <t xml:space="preserve">ROIC</t>
    </r>
    <r>
      <rPr>
        <sz val="9"/>
        <color rgb="FF0000FF"/>
        <rFont val="Noto Sans CJK SC"/>
        <family val="2"/>
      </rPr>
      <t xml:space="preserve">是否仍</t>
    </r>
    <r>
      <rPr>
        <sz val="9"/>
        <color rgb="FF0000FF"/>
        <rFont val="KaiTi"/>
        <family val="0"/>
        <charset val="1"/>
      </rPr>
      <t xml:space="preserve">&gt;WACC</t>
    </r>
  </si>
  <si>
    <r>
      <rPr>
        <sz val="8.5"/>
        <color rgb="FF000000"/>
        <rFont val="Noto Sans CJK SC"/>
        <family val="2"/>
      </rPr>
      <t xml:space="preserve">上一轮底部</t>
    </r>
    <r>
      <rPr>
        <sz val="8.5"/>
        <color rgb="FF000000"/>
        <rFont val="KaiTi"/>
        <family val="0"/>
        <charset val="1"/>
      </rPr>
      <t xml:space="preserve">ROIC</t>
    </r>
  </si>
  <si>
    <t xml:space="preserve">历史财报</t>
  </si>
  <si>
    <r>
      <rPr>
        <sz val="8.5"/>
        <color rgb="FF000000"/>
        <rFont val="Noto Sans CJK SC"/>
        <family val="2"/>
      </rPr>
      <t xml:space="preserve">底部</t>
    </r>
    <r>
      <rPr>
        <sz val="8.5"/>
        <color rgb="FF000000"/>
        <rFont val="KaiTi"/>
        <family val="0"/>
        <charset val="1"/>
      </rPr>
      <t xml:space="preserve">ROIC&lt;WACC</t>
    </r>
  </si>
  <si>
    <t xml:space="preserve">只看均值不看底部</t>
  </si>
  <si>
    <t xml:space="preserve">利润归属环节</t>
  </si>
  <si>
    <t xml:space="preserve">整条链剩余利润最终沉淀在哪一环</t>
  </si>
  <si>
    <r>
      <rPr>
        <sz val="8.5"/>
        <color rgb="FF000000"/>
        <rFont val="Noto Sans CJK SC"/>
        <family val="2"/>
      </rPr>
      <t xml:space="preserve">各环节历史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中枢排序</t>
    </r>
  </si>
  <si>
    <t xml:space="preserve">产业链财报横比</t>
  </si>
  <si>
    <r>
      <rPr>
        <sz val="8.5"/>
        <color rgb="FF000000"/>
        <rFont val="Noto Sans CJK SC"/>
        <family val="2"/>
      </rPr>
      <t xml:space="preserve">利润向上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下游迁移</t>
    </r>
  </si>
  <si>
    <t xml:space="preserve">假设利润留在自己环节</t>
  </si>
  <si>
    <t xml:space="preserve">成本曲线位置</t>
  </si>
  <si>
    <t xml:space="preserve">你在行业现金成本曲线的哪个分位</t>
  </si>
  <si>
    <r>
      <rPr>
        <sz val="8.5"/>
        <color rgb="FF000000"/>
        <rFont val="Noto Sans CJK SC"/>
        <family val="2"/>
      </rPr>
      <t xml:space="preserve">现金成本分位</t>
    </r>
    <r>
      <rPr>
        <sz val="8.5"/>
        <color rgb="FF000000"/>
        <rFont val="KaiTi"/>
        <family val="0"/>
        <charset val="1"/>
      </rPr>
      <t xml:space="preserve">&lt;25%</t>
    </r>
    <r>
      <rPr>
        <sz val="8.5"/>
        <color rgb="FF000000"/>
        <rFont val="Noto Sans CJK SC"/>
        <family val="2"/>
      </rPr>
      <t xml:space="preserve">才安全</t>
    </r>
  </si>
  <si>
    <t xml:space="preserve">同业成本拆解</t>
  </si>
  <si>
    <t xml:space="preserve">新工艺让分位后移</t>
  </si>
  <si>
    <t xml:space="preserve">忽略成本曲线</t>
  </si>
  <si>
    <t xml:space="preserve">费用刚性</t>
  </si>
  <si>
    <r>
      <rPr>
        <sz val="9"/>
        <color rgb="FF0000FF"/>
        <rFont val="Noto Sans CJK SC"/>
        <family val="2"/>
      </rPr>
      <t xml:space="preserve">研发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销售费用是否随收入同比例增长（决定经营杠杆）</t>
    </r>
  </si>
  <si>
    <t xml:space="preserve">费用率能否随规模下降</t>
  </si>
  <si>
    <t xml:space="preserve">历史费用率曲线</t>
  </si>
  <si>
    <t xml:space="preserve">费用率不降反升</t>
  </si>
  <si>
    <t xml:space="preserve">假设费用自动摊薄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</si>
  <si>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E </t>
    </r>
    <r>
      <rPr>
        <b val="true"/>
        <sz val="10.5"/>
        <color rgb="FF1F3864"/>
        <rFont val="Noto Sans CJK SC"/>
        <family val="2"/>
      </rPr>
      <t xml:space="preserve">需求终局</t>
    </r>
  </si>
  <si>
    <r>
      <rPr>
        <sz val="8.5"/>
        <color rgb="FF7F7F7F"/>
        <rFont val="KaiTi"/>
        <family val="0"/>
        <charset val="1"/>
      </rPr>
      <t xml:space="preserve">E </t>
    </r>
    <r>
      <rPr>
        <sz val="8.5"/>
        <color rgb="FF7F7F7F"/>
        <rFont val="Noto Sans CJK SC"/>
        <family val="2"/>
      </rPr>
      <t xml:space="preserve">需求终局</t>
    </r>
  </si>
  <si>
    <t xml:space="preserve">渗透率曲线形状</t>
  </si>
  <si>
    <r>
      <rPr>
        <sz val="9"/>
        <color rgb="FF0000FF"/>
        <rFont val="KaiTi"/>
        <family val="0"/>
        <charset val="1"/>
      </rPr>
      <t xml:space="preserve">S</t>
    </r>
    <r>
      <rPr>
        <sz val="9"/>
        <color rgb="FF0000FF"/>
        <rFont val="Noto Sans CJK SC"/>
        <family val="2"/>
      </rPr>
      <t xml:space="preserve">曲线拐点位置与斜率上限</t>
    </r>
  </si>
  <si>
    <t xml:space="preserve">类比历史同类渗透路径</t>
  </si>
  <si>
    <r>
      <rPr>
        <sz val="8.5"/>
        <color rgb="FF7F7F7F"/>
        <rFont val="KaiTi"/>
        <family val="0"/>
        <charset val="1"/>
      </rPr>
      <t xml:space="preserve">base rate</t>
    </r>
    <r>
      <rPr>
        <sz val="8.5"/>
        <color rgb="FF7F7F7F"/>
        <rFont val="Noto Sans CJK SC"/>
        <family val="2"/>
      </rPr>
      <t xml:space="preserve">库</t>
    </r>
  </si>
  <si>
    <t xml:space="preserve">天花板下移</t>
  </si>
  <si>
    <t xml:space="preserve">线性外推渗透率</t>
  </si>
  <si>
    <t xml:space="preserve">单位用量演化方向</t>
  </si>
  <si>
    <t xml:space="preserve">技术进步常常同时降本降量</t>
  </si>
  <si>
    <t xml:space="preserve">历史单位用量趋势</t>
  </si>
  <si>
    <r>
      <rPr>
        <sz val="8.5"/>
        <color rgb="FF7F7F7F"/>
        <rFont val="Noto Sans CJK SC"/>
        <family val="2"/>
      </rPr>
      <t xml:space="preserve">拆机</t>
    </r>
    <r>
      <rPr>
        <sz val="8.5"/>
        <color rgb="FF7F7F7F"/>
        <rFont val="KaiTi"/>
        <family val="0"/>
        <charset val="1"/>
      </rPr>
      <t xml:space="preserve">/BOM</t>
    </r>
  </si>
  <si>
    <r>
      <rPr>
        <sz val="8.5"/>
        <color rgb="FF000000"/>
        <rFont val="Noto Sans CJK SC"/>
        <family val="2"/>
      </rPr>
      <t xml:space="preserve">单耗降幅</t>
    </r>
    <r>
      <rPr>
        <sz val="8.5"/>
        <color rgb="FF000000"/>
        <rFont val="KaiTi"/>
        <family val="0"/>
        <charset val="1"/>
      </rPr>
      <t xml:space="preserve">&gt;</t>
    </r>
    <r>
      <rPr>
        <sz val="8.5"/>
        <color rgb="FF000000"/>
        <rFont val="Noto Sans CJK SC"/>
        <family val="2"/>
      </rPr>
      <t xml:space="preserve">渗透升幅</t>
    </r>
  </si>
  <si>
    <t xml:space="preserve">只算渗透不算单耗</t>
  </si>
  <si>
    <t xml:space="preserve">价格长期方向</t>
  </si>
  <si>
    <r>
      <rPr>
        <sz val="9"/>
        <color rgb="FF0000FF"/>
        <rFont val="Noto Sans CJK SC"/>
        <family val="2"/>
      </rPr>
      <t xml:space="preserve">学习曲线：每翻倍降价</t>
    </r>
    <r>
      <rPr>
        <sz val="9"/>
        <color rgb="FF0000FF"/>
        <rFont val="KaiTi"/>
        <family val="0"/>
        <charset val="1"/>
      </rPr>
      <t xml:space="preserve">x%</t>
    </r>
  </si>
  <si>
    <r>
      <rPr>
        <sz val="8.5"/>
        <color rgb="FF000000"/>
        <rFont val="Noto Sans CJK SC"/>
        <family val="2"/>
      </rPr>
      <t xml:space="preserve">历史</t>
    </r>
    <r>
      <rPr>
        <sz val="8.5"/>
        <color rgb="FF000000"/>
        <rFont val="KaiTi"/>
        <family val="0"/>
        <charset val="1"/>
      </rPr>
      <t xml:space="preserve">log-log</t>
    </r>
    <r>
      <rPr>
        <sz val="8.5"/>
        <color rgb="FF000000"/>
        <rFont val="Noto Sans CJK SC"/>
        <family val="2"/>
      </rPr>
      <t xml:space="preserve">斜率</t>
    </r>
  </si>
  <si>
    <t xml:space="preserve">价格序列</t>
  </si>
  <si>
    <r>
      <rPr>
        <sz val="8.5"/>
        <color rgb="FF000000"/>
        <rFont val="Noto Sans CJK SC"/>
        <family val="2"/>
      </rPr>
      <t xml:space="preserve">降价快于放量→金额</t>
    </r>
    <r>
      <rPr>
        <sz val="8.5"/>
        <color rgb="FF000000"/>
        <rFont val="KaiTi"/>
        <family val="0"/>
        <charset val="1"/>
      </rPr>
      <t xml:space="preserve">TAM</t>
    </r>
    <r>
      <rPr>
        <sz val="8.5"/>
        <color rgb="FF000000"/>
        <rFont val="Noto Sans CJK SC"/>
        <family val="2"/>
      </rPr>
      <t xml:space="preserve">先见顶</t>
    </r>
  </si>
  <si>
    <r>
      <rPr>
        <sz val="8.5"/>
        <color rgb="FFC00000"/>
        <rFont val="Noto Sans CJK SC"/>
        <family val="2"/>
      </rPr>
      <t xml:space="preserve">用当期价格算终局</t>
    </r>
    <r>
      <rPr>
        <sz val="8.5"/>
        <color rgb="FFC00000"/>
        <rFont val="KaiTi"/>
        <family val="0"/>
        <charset val="1"/>
      </rPr>
      <t xml:space="preserve">TAM</t>
    </r>
  </si>
  <si>
    <r>
      <rPr>
        <b val="true"/>
        <sz val="9"/>
        <color rgb="FF000000"/>
        <rFont val="Noto Sans CJK SC"/>
        <family val="2"/>
      </rPr>
      <t xml:space="preserve">存量替换 </t>
    </r>
    <r>
      <rPr>
        <b val="true"/>
        <sz val="9"/>
        <color rgb="FF000000"/>
        <rFont val="KaiTi"/>
        <family val="0"/>
        <charset val="1"/>
      </rPr>
      <t xml:space="preserve">vs </t>
    </r>
    <r>
      <rPr>
        <b val="true"/>
        <sz val="9"/>
        <color rgb="FF000000"/>
        <rFont val="Noto Sans CJK SC"/>
        <family val="2"/>
      </rPr>
      <t xml:space="preserve">新增</t>
    </r>
  </si>
  <si>
    <t xml:space="preserve">替换需求的天花板远低于新增</t>
  </si>
  <si>
    <r>
      <rPr>
        <sz val="8.5"/>
        <color rgb="FF000000"/>
        <rFont val="Noto Sans CJK SC"/>
        <family val="2"/>
      </rPr>
      <t xml:space="preserve">存量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新增拆分</t>
    </r>
  </si>
  <si>
    <t xml:space="preserve">行业统计</t>
  </si>
  <si>
    <t xml:space="preserve">替换周期拉长</t>
  </si>
  <si>
    <t xml:space="preserve">混算存量与新增</t>
  </si>
  <si>
    <t xml:space="preserve">需求的真实付款人</t>
  </si>
  <si>
    <r>
      <rPr>
        <sz val="9"/>
        <color rgb="FF0000FF"/>
        <rFont val="Noto Sans CJK SC"/>
        <family val="2"/>
      </rPr>
      <t xml:space="preserve">谁掏钱：终端消费者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企业资本开支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政府补贴</t>
    </r>
  </si>
  <si>
    <r>
      <rPr>
        <sz val="8.5"/>
        <color rgb="FF000000"/>
        <rFont val="Noto Sans CJK SC"/>
        <family val="2"/>
      </rPr>
      <t xml:space="preserve">补贴占比</t>
    </r>
    <r>
      <rPr>
        <sz val="8.5"/>
        <color rgb="FF000000"/>
        <rFont val="KaiTi"/>
        <family val="0"/>
        <charset val="1"/>
      </rPr>
      <t xml:space="preserve">&gt;30%</t>
    </r>
    <r>
      <rPr>
        <sz val="8.5"/>
        <color rgb="FF000000"/>
        <rFont val="Noto Sans CJK SC"/>
        <family val="2"/>
      </rPr>
      <t xml:space="preserve">即为政策依赖型</t>
    </r>
  </si>
  <si>
    <t xml:space="preserve">产业链付款结构</t>
  </si>
  <si>
    <t xml:space="preserve">补贴退坡</t>
  </si>
  <si>
    <t xml:space="preserve">把政策需求当自然需求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</si>
  <si>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F </t>
    </r>
    <r>
      <rPr>
        <b val="true"/>
        <sz val="10.5"/>
        <color rgb="FF1F3864"/>
        <rFont val="Noto Sans CJK SC"/>
        <family val="2"/>
      </rPr>
      <t xml:space="preserve">技术路线</t>
    </r>
  </si>
  <si>
    <r>
      <rPr>
        <sz val="8.5"/>
        <color rgb="FF7F7F7F"/>
        <rFont val="KaiTi"/>
        <family val="0"/>
        <charset val="1"/>
      </rPr>
      <t xml:space="preserve">F </t>
    </r>
    <r>
      <rPr>
        <sz val="8.5"/>
        <color rgb="FF7F7F7F"/>
        <rFont val="Noto Sans CJK SC"/>
        <family val="2"/>
      </rPr>
      <t xml:space="preserve">技术路线</t>
    </r>
  </si>
  <si>
    <t xml:space="preserve">路线是否收敛</t>
  </si>
  <si>
    <r>
      <rPr>
        <sz val="9"/>
        <color rgb="FF0000FF"/>
        <rFont val="Noto Sans CJK SC"/>
        <family val="2"/>
      </rPr>
      <t xml:space="preserve">主流路线出货份额</t>
    </r>
    <r>
      <rPr>
        <sz val="9"/>
        <color rgb="FF0000FF"/>
        <rFont val="KaiTi"/>
        <family val="0"/>
        <charset val="1"/>
      </rPr>
      <t xml:space="preserve">&gt;70%</t>
    </r>
    <r>
      <rPr>
        <sz val="9"/>
        <color rgb="FF0000FF"/>
        <rFont val="Noto Sans CJK SC"/>
        <family val="2"/>
      </rPr>
      <t xml:space="preserve">视为收敛</t>
    </r>
  </si>
  <si>
    <t xml:space="preserve">出货结构</t>
  </si>
  <si>
    <t xml:space="preserve">新路线份额连续两年翻倍</t>
  </si>
  <si>
    <t xml:space="preserve">假设当前路线永续</t>
  </si>
  <si>
    <t xml:space="preserve">物理极限</t>
  </si>
  <si>
    <r>
      <rPr>
        <sz val="9"/>
        <color rgb="FF0000FF"/>
        <rFont val="Noto Sans CJK SC"/>
        <family val="2"/>
      </rPr>
      <t xml:space="preserve">该路线的理论上限（效率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密度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温度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尺寸）</t>
    </r>
  </si>
  <si>
    <t xml:space="preserve">第一性原理计算</t>
  </si>
  <si>
    <r>
      <rPr>
        <sz val="8.5"/>
        <color rgb="FF7F7F7F"/>
        <rFont val="Noto Sans CJK SC"/>
        <family val="2"/>
      </rPr>
      <t xml:space="preserve">论文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白皮书</t>
    </r>
  </si>
  <si>
    <t xml:space="preserve">逼近极限→换路线</t>
  </si>
  <si>
    <t xml:space="preserve">忽略物理约束外推</t>
  </si>
  <si>
    <t xml:space="preserve">替代路线成本交叉点</t>
  </si>
  <si>
    <t xml:space="preserve">替代路线降到何种成本会翻盘</t>
  </si>
  <si>
    <t xml:space="preserve">双曲线交叉年份</t>
  </si>
  <si>
    <t xml:space="preserve">成本曲线</t>
  </si>
  <si>
    <t xml:space="preserve">交叉点提前</t>
  </si>
  <si>
    <t xml:space="preserve">只看当前成本差</t>
  </si>
  <si>
    <r>
      <rPr>
        <b val="true"/>
        <sz val="9"/>
        <color rgb="FF000000"/>
        <rFont val="Noto Sans CJK SC"/>
        <family val="2"/>
      </rPr>
      <t xml:space="preserve">型号</t>
    </r>
    <r>
      <rPr>
        <b val="true"/>
        <sz val="9"/>
        <color rgb="FF000000"/>
        <rFont val="KaiTi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产线可复用性</t>
    </r>
  </si>
  <si>
    <t xml:space="preserve">换代时现有产线与型号能否复用</t>
  </si>
  <si>
    <r>
      <rPr>
        <sz val="8.5"/>
        <color rgb="FF000000"/>
        <rFont val="Noto Sans CJK SC"/>
        <family val="2"/>
      </rPr>
      <t xml:space="preserve">复用率</t>
    </r>
    <r>
      <rPr>
        <sz val="8.5"/>
        <color rgb="FF000000"/>
        <rFont val="KaiTi"/>
        <family val="0"/>
        <charset val="1"/>
      </rPr>
      <t xml:space="preserve">&lt;50%=</t>
    </r>
    <r>
      <rPr>
        <sz val="8.5"/>
        <color rgb="FF000000"/>
        <rFont val="Noto Sans CJK SC"/>
        <family val="2"/>
      </rPr>
      <t xml:space="preserve">每代重投</t>
    </r>
  </si>
  <si>
    <t xml:space="preserve">设备清单</t>
  </si>
  <si>
    <t xml:space="preserve">客户要求全新平台</t>
  </si>
  <si>
    <t xml:space="preserve">忽略换代资本开支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</si>
  <si>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G </t>
    </r>
    <r>
      <rPr>
        <b val="true"/>
        <sz val="10.5"/>
        <color rgb="FF1F3864"/>
        <rFont val="Noto Sans CJK SC"/>
        <family val="2"/>
      </rPr>
      <t xml:space="preserve">客户与议价</t>
    </r>
  </si>
  <si>
    <r>
      <rPr>
        <sz val="8.5"/>
        <color rgb="FF7F7F7F"/>
        <rFont val="KaiTi"/>
        <family val="0"/>
        <charset val="1"/>
      </rPr>
      <t xml:space="preserve">G </t>
    </r>
    <r>
      <rPr>
        <sz val="8.5"/>
        <color rgb="FF7F7F7F"/>
        <rFont val="Noto Sans CJK SC"/>
        <family val="2"/>
      </rPr>
      <t xml:space="preserve">客户与议价</t>
    </r>
  </si>
  <si>
    <t xml:space="preserve">客户自研可能性</t>
  </si>
  <si>
    <r>
      <rPr>
        <sz val="9"/>
        <color rgb="FF0000FF"/>
        <rFont val="Noto Sans CJK SC"/>
        <family val="2"/>
      </rPr>
      <t xml:space="preserve">占客户</t>
    </r>
    <r>
      <rPr>
        <sz val="9"/>
        <color rgb="FF0000FF"/>
        <rFont val="KaiTi"/>
        <family val="0"/>
        <charset val="1"/>
      </rPr>
      <t xml:space="preserve">BOM&gt;10%</t>
    </r>
    <r>
      <rPr>
        <sz val="9"/>
        <color rgb="FF0000FF"/>
        <rFont val="Noto Sans CJK SC"/>
        <family val="2"/>
      </rPr>
      <t xml:space="preserve">时自研动机强</t>
    </r>
  </si>
  <si>
    <t xml:space="preserve">你的产品占客户成本比重</t>
  </si>
  <si>
    <t xml:space="preserve">拆解客户成本</t>
  </si>
  <si>
    <t xml:space="preserve">客户公告自研</t>
  </si>
  <si>
    <t xml:space="preserve">假设客户永远外购</t>
  </si>
  <si>
    <t xml:space="preserve">客户集中度</t>
  </si>
  <si>
    <r>
      <rPr>
        <sz val="9"/>
        <color rgb="FF0000FF"/>
        <rFont val="Noto Sans CJK SC"/>
        <family val="2"/>
      </rPr>
      <t xml:space="preserve">前五大</t>
    </r>
    <r>
      <rPr>
        <sz val="9"/>
        <color rgb="FF0000FF"/>
        <rFont val="KaiTi"/>
        <family val="0"/>
        <charset val="1"/>
      </rPr>
      <t xml:space="preserve">&gt;50%</t>
    </r>
    <r>
      <rPr>
        <sz val="9"/>
        <color rgb="FF0000FF"/>
        <rFont val="Noto Sans CJK SC"/>
        <family val="2"/>
      </rPr>
      <t xml:space="preserve">即结构性风险</t>
    </r>
  </si>
  <si>
    <t xml:space="preserve">财报披露</t>
  </si>
  <si>
    <t xml:space="preserve">财报</t>
  </si>
  <si>
    <t xml:space="preserve">大客户导入二供</t>
  </si>
  <si>
    <t xml:space="preserve">把大客户绑定当护城河</t>
  </si>
  <si>
    <t xml:space="preserve">定价机制</t>
  </si>
  <si>
    <r>
      <rPr>
        <sz val="9"/>
        <color rgb="FF0000FF"/>
        <rFont val="Noto Sans CJK SC"/>
        <family val="2"/>
      </rPr>
      <t xml:space="preserve">长协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年度议价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现货——决定利润稳定性</t>
    </r>
  </si>
  <si>
    <t xml:space="preserve">合同结构</t>
  </si>
  <si>
    <r>
      <rPr>
        <sz val="8.5"/>
        <color rgb="FF7F7F7F"/>
        <rFont val="Noto Sans CJK SC"/>
        <family val="2"/>
      </rPr>
      <t xml:space="preserve">招股书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一手</t>
    </r>
  </si>
  <si>
    <t xml:space="preserve">长协转现货</t>
  </si>
  <si>
    <t xml:space="preserve">忽略合同结构</t>
  </si>
  <si>
    <t xml:space="preserve">客户自身的格局</t>
  </si>
  <si>
    <t xml:space="preserve">客户所在环节若是完全竞争，它会把压力传给你</t>
  </si>
  <si>
    <r>
      <rPr>
        <sz val="8.5"/>
        <color rgb="FF000000"/>
        <rFont val="Noto Sans CJK SC"/>
        <family val="2"/>
      </rPr>
      <t xml:space="preserve">客户环节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水平</t>
    </r>
  </si>
  <si>
    <t xml:space="preserve">客户财报</t>
  </si>
  <si>
    <r>
      <rPr>
        <sz val="8.5"/>
        <color rgb="FF000000"/>
        <rFont val="Noto Sans CJK SC"/>
        <family val="2"/>
      </rPr>
      <t xml:space="preserve">客户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持续下滑</t>
    </r>
  </si>
  <si>
    <t xml:space="preserve">只研究自己不研究客户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</si>
  <si>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H </t>
    </r>
    <r>
      <rPr>
        <b val="true"/>
        <sz val="10.5"/>
        <color rgb="FF1F3864"/>
        <rFont val="Noto Sans CJK SC"/>
        <family val="2"/>
      </rPr>
      <t xml:space="preserve">人与资本配置</t>
    </r>
  </si>
  <si>
    <r>
      <rPr>
        <sz val="8.5"/>
        <color rgb="FF7F7F7F"/>
        <rFont val="KaiTi"/>
        <family val="0"/>
        <charset val="1"/>
      </rPr>
      <t xml:space="preserve">H </t>
    </r>
    <r>
      <rPr>
        <sz val="8.5"/>
        <color rgb="FF7F7F7F"/>
        <rFont val="Noto Sans CJK SC"/>
        <family val="2"/>
      </rPr>
      <t xml:space="preserve">人与资本配置</t>
    </r>
  </si>
  <si>
    <t xml:space="preserve">实控人资本配置记录</t>
  </si>
  <si>
    <r>
      <rPr>
        <sz val="9"/>
        <color rgb="FF0000FF"/>
        <rFont val="Noto Sans CJK SC"/>
        <family val="2"/>
      </rPr>
      <t xml:space="preserve">过去</t>
    </r>
    <r>
      <rPr>
        <sz val="9"/>
        <color rgb="FF0000FF"/>
        <rFont val="KaiTi"/>
        <family val="0"/>
        <charset val="1"/>
      </rPr>
      <t xml:space="preserve">10</t>
    </r>
    <r>
      <rPr>
        <sz val="9"/>
        <color rgb="FF0000FF"/>
        <rFont val="Noto Sans CJK SC"/>
        <family val="2"/>
      </rPr>
      <t xml:space="preserve">年现金投向：复利型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烧钱型</t>
    </r>
  </si>
  <si>
    <r>
      <rPr>
        <sz val="8.5"/>
        <color rgb="FF000000"/>
        <rFont val="Noto Sans CJK SC"/>
        <family val="2"/>
      </rPr>
      <t xml:space="preserve">累计</t>
    </r>
    <r>
      <rPr>
        <sz val="8.5"/>
        <color rgb="FF000000"/>
        <rFont val="KaiTi"/>
        <family val="0"/>
        <charset val="1"/>
      </rPr>
      <t xml:space="preserve">ROIC vs </t>
    </r>
    <r>
      <rPr>
        <sz val="8.5"/>
        <color rgb="FF000000"/>
        <rFont val="Noto Sans CJK SC"/>
        <family val="2"/>
      </rPr>
      <t xml:space="preserve">累计资本开支</t>
    </r>
  </si>
  <si>
    <t xml:space="preserve">开始跨界并购</t>
  </si>
  <si>
    <t xml:space="preserve">只看当期报表</t>
  </si>
  <si>
    <t xml:space="preserve">谁真正控制资源</t>
  </si>
  <si>
    <r>
      <rPr>
        <sz val="9"/>
        <color rgb="FF0000FF"/>
        <rFont val="Noto Sans CJK SC"/>
        <family val="2"/>
      </rPr>
      <t xml:space="preserve">股权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董事会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政商网络的实际控制链</t>
    </r>
  </si>
  <si>
    <t xml:space="preserve">穿透股权</t>
  </si>
  <si>
    <t xml:space="preserve">企查查</t>
  </si>
  <si>
    <t xml:space="preserve">实控人变更</t>
  </si>
  <si>
    <t xml:space="preserve">只看名义控股</t>
  </si>
  <si>
    <t xml:space="preserve">激励一致性</t>
  </si>
  <si>
    <r>
      <rPr>
        <sz val="9"/>
        <color rgb="FF0000FF"/>
        <rFont val="Noto Sans CJK SC"/>
        <family val="2"/>
      </rPr>
      <t xml:space="preserve">行权条件绑定</t>
    </r>
    <r>
      <rPr>
        <sz val="9"/>
        <color rgb="FF0000FF"/>
        <rFont val="KaiTi"/>
        <family val="0"/>
        <charset val="1"/>
      </rPr>
      <t xml:space="preserve">ROIC</t>
    </r>
    <r>
      <rPr>
        <sz val="9"/>
        <color rgb="FF0000FF"/>
        <rFont val="Noto Sans CJK SC"/>
        <family val="2"/>
      </rPr>
      <t xml:space="preserve">还是绑定收入</t>
    </r>
  </si>
  <si>
    <r>
      <rPr>
        <sz val="8.5"/>
        <color rgb="FF000000"/>
        <rFont val="Noto Sans CJK SC"/>
        <family val="2"/>
      </rPr>
      <t xml:space="preserve">绑收入的激励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鼓励毁灭价值</t>
    </r>
  </si>
  <si>
    <t xml:space="preserve">激励公告</t>
  </si>
  <si>
    <t xml:space="preserve">激励只考核收入</t>
  </si>
  <si>
    <t xml:space="preserve">忽略激励条款</t>
  </si>
  <si>
    <t xml:space="preserve">再融资与稀释</t>
  </si>
  <si>
    <r>
      <rPr>
        <sz val="9"/>
        <color rgb="FF0000FF"/>
        <rFont val="Noto Sans CJK SC"/>
        <family val="2"/>
      </rPr>
      <t xml:space="preserve">股本</t>
    </r>
    <r>
      <rPr>
        <sz val="9"/>
        <color rgb="FF0000FF"/>
        <rFont val="KaiTi"/>
        <family val="0"/>
        <charset val="1"/>
      </rPr>
      <t xml:space="preserve">CAGR &gt; </t>
    </r>
    <r>
      <rPr>
        <sz val="9"/>
        <color rgb="FF0000FF"/>
        <rFont val="Noto Sans CJK SC"/>
        <family val="2"/>
      </rPr>
      <t xml:space="preserve">收入</t>
    </r>
    <r>
      <rPr>
        <sz val="9"/>
        <color rgb="FF0000FF"/>
        <rFont val="KaiTi"/>
        <family val="0"/>
        <charset val="1"/>
      </rPr>
      <t xml:space="preserve">CAGR = </t>
    </r>
    <r>
      <rPr>
        <sz val="9"/>
        <color rgb="FF0000FF"/>
        <rFont val="Noto Sans CJK SC"/>
        <family val="2"/>
      </rPr>
      <t xml:space="preserve">每股价值毁灭</t>
    </r>
  </si>
  <si>
    <t xml:space="preserve">历史股本增长率</t>
  </si>
  <si>
    <t xml:space="preserve">历史股本</t>
  </si>
  <si>
    <t xml:space="preserve">频繁定增</t>
  </si>
  <si>
    <t xml:space="preserve">只看总市值不看每股</t>
  </si>
  <si>
    <t xml:space="preserve">分红与回购纪律</t>
  </si>
  <si>
    <t xml:space="preserve">稳态期是否愿意返还现金</t>
  </si>
  <si>
    <r>
      <rPr>
        <sz val="8.5"/>
        <color rgb="FF000000"/>
        <rFont val="Noto Sans CJK SC"/>
        <family val="2"/>
      </rPr>
      <t xml:space="preserve">稳态后分红率</t>
    </r>
    <r>
      <rPr>
        <sz val="8.5"/>
        <color rgb="FF000000"/>
        <rFont val="KaiTi"/>
        <family val="0"/>
        <charset val="1"/>
      </rPr>
      <t xml:space="preserve">&gt;40%</t>
    </r>
  </si>
  <si>
    <t xml:space="preserve">分红历史</t>
  </si>
  <si>
    <t xml:space="preserve">永远再投资</t>
  </si>
  <si>
    <t xml:space="preserve">把不分红当成长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</si>
  <si>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I </t>
    </r>
    <r>
      <rPr>
        <b val="true"/>
        <sz val="10.5"/>
        <color rgb="FF1F3864"/>
        <rFont val="Noto Sans CJK SC"/>
        <family val="2"/>
      </rPr>
      <t xml:space="preserve">终局估值锚</t>
    </r>
  </si>
  <si>
    <r>
      <rPr>
        <sz val="8.5"/>
        <color rgb="FF7F7F7F"/>
        <rFont val="KaiTi"/>
        <family val="0"/>
        <charset val="1"/>
      </rPr>
      <t xml:space="preserve">I </t>
    </r>
    <r>
      <rPr>
        <sz val="8.5"/>
        <color rgb="FF7F7F7F"/>
        <rFont val="Noto Sans CJK SC"/>
        <family val="2"/>
      </rPr>
      <t xml:space="preserve">终局估值锚</t>
    </r>
  </si>
  <si>
    <t xml:space="preserve">海外成熟同业中枢</t>
  </si>
  <si>
    <r>
      <rPr>
        <sz val="9"/>
        <color rgb="FF0000FF"/>
        <rFont val="Noto Sans CJK SC"/>
        <family val="2"/>
      </rPr>
      <t xml:space="preserve">稳态期 </t>
    </r>
    <r>
      <rPr>
        <sz val="9"/>
        <color rgb="FF0000FF"/>
        <rFont val="KaiTi"/>
        <family val="0"/>
        <charset val="1"/>
      </rPr>
      <t xml:space="preserve">EV/EBIT</t>
    </r>
    <r>
      <rPr>
        <sz val="9"/>
        <color rgb="FF0000FF"/>
        <rFont val="Noto Sans CJK SC"/>
        <family val="2"/>
      </rPr>
      <t xml:space="preserve">、</t>
    </r>
    <r>
      <rPr>
        <sz val="9"/>
        <color rgb="FF0000FF"/>
        <rFont val="KaiTi"/>
        <family val="0"/>
        <charset val="1"/>
      </rPr>
      <t xml:space="preserve">ROIC</t>
    </r>
    <r>
      <rPr>
        <sz val="9"/>
        <color rgb="FF0000FF"/>
        <rFont val="Noto Sans CJK SC"/>
        <family val="2"/>
      </rPr>
      <t xml:space="preserve">、增速三件套</t>
    </r>
  </si>
  <si>
    <r>
      <rPr>
        <sz val="8.5"/>
        <color rgb="FF000000"/>
        <rFont val="Noto Sans CJK SC"/>
        <family val="2"/>
      </rPr>
      <t xml:space="preserve">取</t>
    </r>
    <r>
      <rPr>
        <sz val="8.5"/>
        <color rgb="FF000000"/>
        <rFont val="KaiTi"/>
        <family val="0"/>
        <charset val="1"/>
      </rPr>
      <t xml:space="preserve">3–5</t>
    </r>
    <r>
      <rPr>
        <sz val="8.5"/>
        <color rgb="FF000000"/>
        <rFont val="Noto Sans CJK SC"/>
        <family val="2"/>
      </rPr>
      <t xml:space="preserve">家可比</t>
    </r>
  </si>
  <si>
    <t xml:space="preserve">Yahoo/FMP</t>
  </si>
  <si>
    <t xml:space="preserve">商业模式不可比</t>
  </si>
  <si>
    <t xml:space="preserve">用当期估值做终局锚</t>
  </si>
  <si>
    <t xml:space="preserve">估值范式上界</t>
  </si>
  <si>
    <t xml:space="preserve">该格局形态最高能给到什么范式</t>
  </si>
  <si>
    <r>
      <rPr>
        <sz val="8.5"/>
        <color rgb="FF000000"/>
        <rFont val="Noto Sans CJK SC"/>
        <family val="2"/>
      </rPr>
      <t xml:space="preserve">见 </t>
    </r>
    <r>
      <rPr>
        <sz val="8.5"/>
        <color rgb="FF000000"/>
        <rFont val="KaiTi"/>
        <family val="0"/>
        <charset val="1"/>
      </rPr>
      <t xml:space="preserve">03 </t>
    </r>
    <r>
      <rPr>
        <sz val="8.5"/>
        <color rgb="FF000000"/>
        <rFont val="Noto Sans CJK SC"/>
        <family val="2"/>
      </rPr>
      <t xml:space="preserve">表 形态→范式映射</t>
    </r>
  </si>
  <si>
    <t xml:space="preserve">范式切换</t>
  </si>
  <si>
    <t xml:space="preserve">把叙事期估值当终局估值</t>
  </si>
  <si>
    <t xml:space="preserve">隐含终局反推</t>
  </si>
  <si>
    <r>
      <rPr>
        <sz val="9"/>
        <color rgb="FF0000FF"/>
        <rFont val="Noto Sans CJK SC"/>
        <family val="2"/>
      </rPr>
      <t xml:space="preserve">当前市值隐含的终局收入</t>
    </r>
    <r>
      <rPr>
        <sz val="9"/>
        <color rgb="FF0000FF"/>
        <rFont val="KaiTi"/>
        <family val="0"/>
        <charset val="1"/>
      </rPr>
      <t xml:space="preserve">×OPM×PE </t>
    </r>
    <r>
      <rPr>
        <sz val="9"/>
        <color rgb="FF0000FF"/>
        <rFont val="Noto Sans CJK SC"/>
        <family val="2"/>
      </rPr>
      <t xml:space="preserve">对应哪一年</t>
    </r>
  </si>
  <si>
    <r>
      <rPr>
        <sz val="8.5"/>
        <color rgb="FF000000"/>
        <rFont val="Noto Sans CJK SC"/>
        <family val="2"/>
      </rPr>
      <t xml:space="preserve">隐含年份</t>
    </r>
    <r>
      <rPr>
        <sz val="8.5"/>
        <color rgb="FF000000"/>
        <rFont val="KaiTi"/>
        <family val="0"/>
        <charset val="1"/>
      </rPr>
      <t xml:space="preserve">&gt;5</t>
    </r>
    <r>
      <rPr>
        <sz val="8.5"/>
        <color rgb="FF000000"/>
        <rFont val="Noto Sans CJK SC"/>
        <family val="2"/>
      </rPr>
      <t xml:space="preserve">年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已透支</t>
    </r>
  </si>
  <si>
    <r>
      <rPr>
        <sz val="8.5"/>
        <color rgb="FF7F7F7F"/>
        <rFont val="KaiTi"/>
        <family val="0"/>
        <charset val="1"/>
      </rPr>
      <t xml:space="preserve">iFind+</t>
    </r>
    <r>
      <rPr>
        <sz val="8.5"/>
        <color rgb="FF7F7F7F"/>
        <rFont val="Noto Sans CJK SC"/>
        <family val="2"/>
      </rPr>
      <t xml:space="preserve">自建</t>
    </r>
  </si>
  <si>
    <t xml:space="preserve">不做反推</t>
  </si>
  <si>
    <t xml:space="preserve">不反推直接买</t>
  </si>
  <si>
    <t xml:space="preserve">赔率与不对称性</t>
  </si>
  <si>
    <r>
      <rPr>
        <sz val="9"/>
        <color rgb="FF0000FF"/>
        <rFont val="Noto Sans CJK SC"/>
        <family val="2"/>
      </rPr>
      <t xml:space="preserve">上行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下行空间比，须</t>
    </r>
    <r>
      <rPr>
        <sz val="9"/>
        <color rgb="FF0000FF"/>
        <rFont val="KaiTi"/>
        <family val="0"/>
        <charset val="1"/>
      </rPr>
      <t xml:space="preserve">&gt;2:1 </t>
    </r>
    <r>
      <rPr>
        <sz val="9"/>
        <color rgb="FF0000FF"/>
        <rFont val="Noto Sans CJK SC"/>
        <family val="2"/>
      </rPr>
      <t xml:space="preserve">才值得长期占用仓位</t>
    </r>
  </si>
  <si>
    <r>
      <rPr>
        <sz val="8.5"/>
        <color rgb="FF000000"/>
        <rFont val="Noto Sans CJK SC"/>
        <family val="2"/>
      </rPr>
      <t xml:space="preserve">目标市值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当前市值−</t>
    </r>
    <r>
      <rPr>
        <sz val="8.5"/>
        <color rgb="FF000000"/>
        <rFont val="KaiTi"/>
        <family val="0"/>
        <charset val="1"/>
      </rPr>
      <t xml:space="preserve">1</t>
    </r>
  </si>
  <si>
    <t xml:space="preserve">自建</t>
  </si>
  <si>
    <r>
      <rPr>
        <sz val="8.5"/>
        <color rgb="FF000000"/>
        <rFont val="Noto Sans CJK SC"/>
        <family val="2"/>
      </rPr>
      <t xml:space="preserve">比值</t>
    </r>
    <r>
      <rPr>
        <sz val="8.5"/>
        <color rgb="FF000000"/>
        <rFont val="KaiTi"/>
        <family val="0"/>
        <charset val="1"/>
      </rPr>
      <t xml:space="preserve">&lt;1.5</t>
    </r>
  </si>
  <si>
    <t xml:space="preserve">只算上行不算下行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</si>
  <si>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J </t>
    </r>
    <r>
      <rPr>
        <b val="true"/>
        <sz val="10.5"/>
        <color rgb="FF1F3864"/>
        <rFont val="Noto Sans CJK SC"/>
        <family val="2"/>
      </rPr>
      <t xml:space="preserve">路径风险</t>
    </r>
  </si>
  <si>
    <r>
      <rPr>
        <sz val="8.5"/>
        <color rgb="FF7F7F7F"/>
        <rFont val="KaiTi"/>
        <family val="0"/>
        <charset val="1"/>
      </rPr>
      <t xml:space="preserve">J </t>
    </r>
    <r>
      <rPr>
        <sz val="8.5"/>
        <color rgb="FF7F7F7F"/>
        <rFont val="Noto Sans CJK SC"/>
        <family val="2"/>
      </rPr>
      <t xml:space="preserve">路径风险</t>
    </r>
  </si>
  <si>
    <t xml:space="preserve">结构性门槛清单</t>
  </si>
  <si>
    <r>
      <rPr>
        <sz val="9"/>
        <color rgb="FF0000FF"/>
        <rFont val="Noto Sans CJK SC"/>
        <family val="2"/>
      </rPr>
      <t xml:space="preserve">从今天到终局要跨的门槛（技术验证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产能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认证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政策）及各自失败概率</t>
    </r>
  </si>
  <si>
    <t xml:space="preserve">逐项列出并赋概率</t>
  </si>
  <si>
    <r>
      <rPr>
        <sz val="8.5"/>
        <color rgb="FF000000"/>
        <rFont val="Noto Sans CJK SC"/>
        <family val="2"/>
      </rPr>
      <t xml:space="preserve">任一门槛延期</t>
    </r>
    <r>
      <rPr>
        <sz val="8.5"/>
        <color rgb="FF000000"/>
        <rFont val="KaiTi"/>
        <family val="0"/>
        <charset val="1"/>
      </rPr>
      <t xml:space="preserve">&gt;2</t>
    </r>
    <r>
      <rPr>
        <sz val="8.5"/>
        <color rgb="FF000000"/>
        <rFont val="Noto Sans CJK SC"/>
        <family val="2"/>
      </rPr>
      <t xml:space="preserve">年</t>
    </r>
  </si>
  <si>
    <t xml:space="preserve">只算终局不算门槛</t>
  </si>
  <si>
    <t xml:space="preserve">融资需求与稀释路径</t>
  </si>
  <si>
    <t xml:space="preserve">到终局还需融多少钱、稀释多少</t>
  </si>
  <si>
    <r>
      <rPr>
        <sz val="8.5"/>
        <color rgb="FF000000"/>
        <rFont val="Noto Sans CJK SC"/>
        <family val="2"/>
      </rPr>
      <t xml:space="preserve">累计</t>
    </r>
    <r>
      <rPr>
        <sz val="8.5"/>
        <color rgb="FF000000"/>
        <rFont val="KaiTi"/>
        <family val="0"/>
        <charset val="1"/>
      </rPr>
      <t xml:space="preserve">FCF</t>
    </r>
    <r>
      <rPr>
        <sz val="8.5"/>
        <color rgb="FF000000"/>
        <rFont val="Noto Sans CJK SC"/>
        <family val="2"/>
      </rPr>
      <t xml:space="preserve">缺口</t>
    </r>
  </si>
  <si>
    <t xml:space="preserve">自建模型</t>
  </si>
  <si>
    <t xml:space="preserve">融资窗口关闭</t>
  </si>
  <si>
    <t xml:space="preserve">忽略稀释</t>
  </si>
  <si>
    <t xml:space="preserve">赢家不确定性</t>
  </si>
  <si>
    <t xml:space="preserve">终局对了但赢家不是它的概率</t>
  </si>
  <si>
    <r>
      <rPr>
        <sz val="8.5"/>
        <color rgb="FF000000"/>
        <rFont val="Noto Sans CJK SC"/>
        <family val="2"/>
      </rPr>
      <t xml:space="preserve">当前份额</t>
    </r>
    <r>
      <rPr>
        <sz val="8.5"/>
        <color rgb="FF000000"/>
        <rFont val="KaiTi"/>
        <family val="0"/>
        <charset val="1"/>
      </rPr>
      <t xml:space="preserve">×</t>
    </r>
    <r>
      <rPr>
        <sz val="8.5"/>
        <color rgb="FF000000"/>
        <rFont val="Noto Sans CJK SC"/>
        <family val="2"/>
      </rPr>
      <t xml:space="preserve">壁垒可持续性</t>
    </r>
  </si>
  <si>
    <t xml:space="preserve">二线份额上升</t>
  </si>
  <si>
    <t xml:space="preserve">买「行业」却持「个股」</t>
  </si>
  <si>
    <t xml:space="preserve">时间成本</t>
  </si>
  <si>
    <r>
      <rPr>
        <sz val="9"/>
        <color rgb="FF0000FF"/>
        <rFont val="Noto Sans CJK SC"/>
        <family val="2"/>
      </rPr>
      <t xml:space="preserve">若终局在</t>
    </r>
    <r>
      <rPr>
        <sz val="9"/>
        <color rgb="FF0000FF"/>
        <rFont val="KaiTi"/>
        <family val="0"/>
        <charset val="1"/>
      </rPr>
      <t xml:space="preserve">5</t>
    </r>
    <r>
      <rPr>
        <sz val="9"/>
        <color rgb="FF0000FF"/>
        <rFont val="Noto Sans CJK SC"/>
        <family val="2"/>
      </rPr>
      <t xml:space="preserve">年后兑现，年化回报是否仍跑赢机会成本</t>
    </r>
  </si>
  <si>
    <r>
      <rPr>
        <sz val="8.5"/>
        <color rgb="FF000000"/>
        <rFont val="Noto Sans CJK SC"/>
        <family val="2"/>
      </rPr>
      <t xml:space="preserve">隐含</t>
    </r>
    <r>
      <rPr>
        <sz val="8.5"/>
        <color rgb="FF000000"/>
        <rFont val="KaiTi"/>
        <family val="0"/>
        <charset val="1"/>
      </rPr>
      <t xml:space="preserve">IRR&gt;15%</t>
    </r>
  </si>
  <si>
    <t xml:space="preserve">IRR&lt;10%</t>
  </si>
  <si>
    <t xml:space="preserve">只看倍数不看年化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</si>
  <si>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K </t>
    </r>
    <r>
      <rPr>
        <b val="true"/>
        <sz val="10.5"/>
        <color rgb="FF1F3864"/>
        <rFont val="Noto Sans CJK SC"/>
        <family val="2"/>
      </rPr>
      <t xml:space="preserve">证伪与纪律</t>
    </r>
  </si>
  <si>
    <r>
      <rPr>
        <sz val="8.5"/>
        <color rgb="FF7F7F7F"/>
        <rFont val="KaiTi"/>
        <family val="0"/>
        <charset val="1"/>
      </rPr>
      <t xml:space="preserve">K </t>
    </r>
    <r>
      <rPr>
        <sz val="8.5"/>
        <color rgb="FF7F7F7F"/>
        <rFont val="Noto Sans CJK SC"/>
        <family val="2"/>
      </rPr>
      <t xml:space="preserve">证伪与纪律</t>
    </r>
  </si>
  <si>
    <r>
      <rPr>
        <b val="true"/>
        <sz val="9"/>
        <color rgb="FF000000"/>
        <rFont val="KaiTi"/>
        <family val="0"/>
        <charset val="1"/>
      </rPr>
      <t xml:space="preserve">Kill criteria </t>
    </r>
    <r>
      <rPr>
        <b val="true"/>
        <sz val="9"/>
        <color rgb="FF000000"/>
        <rFont val="Noto Sans CJK SC"/>
        <family val="2"/>
      </rPr>
      <t xml:space="preserve">预注册</t>
    </r>
  </si>
  <si>
    <t xml:space="preserve">三条可证伪的结构性前提，建仓日写死</t>
  </si>
  <si>
    <t xml:space="preserve">每条须可观测、带时间点</t>
  </si>
  <si>
    <t xml:space="preserve">立项书</t>
  </si>
  <si>
    <t xml:space="preserve">触发即减仓</t>
  </si>
  <si>
    <t xml:space="preserve">事后改判据</t>
  </si>
  <si>
    <t xml:space="preserve">只能用逻辑证伪</t>
  </si>
  <si>
    <r>
      <rPr>
        <sz val="9"/>
        <color rgb="FF0000FF"/>
        <rFont val="Noto Sans CJK SC"/>
        <family val="2"/>
      </rPr>
      <t xml:space="preserve">股价下跌不构成长期证伪；但无预注册判据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信仰</t>
    </r>
  </si>
  <si>
    <t xml:space="preserve">判据触发与股价下跌分开记录</t>
  </si>
  <si>
    <t xml:space="preserve">漂移日志</t>
  </si>
  <si>
    <r>
      <rPr>
        <sz val="8.5"/>
        <color rgb="FFC00000"/>
        <rFont val="Noto Sans CJK SC"/>
        <family val="2"/>
      </rPr>
      <t xml:space="preserve">用股价证伪 </t>
    </r>
    <r>
      <rPr>
        <sz val="8.5"/>
        <color rgb="FFC00000"/>
        <rFont val="KaiTi"/>
        <family val="0"/>
        <charset val="1"/>
      </rPr>
      <t xml:space="preserve">/ </t>
    </r>
    <r>
      <rPr>
        <sz val="8.5"/>
        <color rgb="FFC00000"/>
        <rFont val="Noto Sans CJK SC"/>
        <family val="2"/>
      </rPr>
      <t xml:space="preserve">永不认错</t>
    </r>
  </si>
  <si>
    <t xml:space="preserve">每次改变长期判断都必须留痕并说明触发事件</t>
  </si>
  <si>
    <t xml:space="preserve">改判必须对应外部事件</t>
  </si>
  <si>
    <r>
      <rPr>
        <sz val="8.5"/>
        <color rgb="FF000000"/>
        <rFont val="Noto Sans CJK SC"/>
        <family val="2"/>
      </rPr>
      <t xml:space="preserve">无事件改判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事后合理化</t>
    </r>
  </si>
  <si>
    <t xml:space="preserve">悄悄改结论</t>
  </si>
  <si>
    <r>
      <rPr>
        <b val="true"/>
        <sz val="10.5"/>
        <color rgb="FF1F3864"/>
        <rFont val="Noto Sans CJK SC"/>
        <family val="2"/>
      </rPr>
      <t xml:space="preserve">长期（</t>
    </r>
    <r>
      <rPr>
        <b val="true"/>
        <sz val="10.5"/>
        <color rgb="FF1F3864"/>
        <rFont val="KaiTi"/>
        <family val="0"/>
        <charset val="1"/>
      </rPr>
      <t xml:space="preserve">3–5y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L </t>
    </r>
    <r>
      <rPr>
        <b val="true"/>
        <sz val="10.5"/>
        <color rgb="FF1F3864"/>
        <rFont val="Noto Sans CJK SC"/>
        <family val="2"/>
      </rPr>
      <t xml:space="preserve">常见死法</t>
    </r>
  </si>
  <si>
    <r>
      <rPr>
        <sz val="8.5"/>
        <color rgb="FF7F7F7F"/>
        <rFont val="KaiTi"/>
        <family val="0"/>
        <charset val="1"/>
      </rPr>
      <t xml:space="preserve">L </t>
    </r>
    <r>
      <rPr>
        <sz val="8.5"/>
        <color rgb="FF7F7F7F"/>
        <rFont val="Noto Sans CJK SC"/>
        <family val="2"/>
      </rPr>
      <t xml:space="preserve">常见死法</t>
    </r>
  </si>
  <si>
    <t xml:space="preserve">死法一</t>
  </si>
  <si>
    <t xml:space="preserve">看对终局、死在路径：赢家不是你买的那家</t>
  </si>
  <si>
    <t xml:space="preserve">死法二</t>
  </si>
  <si>
    <r>
      <rPr>
        <sz val="9"/>
        <color rgb="FF0000FF"/>
        <rFont val="Noto Sans CJK SC"/>
        <family val="2"/>
      </rPr>
      <t xml:space="preserve">终局被提前 </t>
    </r>
    <r>
      <rPr>
        <sz val="9"/>
        <color rgb="FF0000FF"/>
        <rFont val="KaiTi"/>
        <family val="0"/>
        <charset val="1"/>
      </rPr>
      <t xml:space="preserve">price in</t>
    </r>
    <r>
      <rPr>
        <sz val="9"/>
        <color rgb="FF0000FF"/>
        <rFont val="Noto Sans CJK SC"/>
        <family val="2"/>
      </rPr>
      <t xml:space="preserve">，兑现日反而不涨</t>
    </r>
  </si>
  <si>
    <t xml:space="preserve">死法三</t>
  </si>
  <si>
    <r>
      <rPr>
        <sz val="9"/>
        <color rgb="FF0000FF"/>
        <rFont val="Noto Sans CJK SC"/>
        <family val="2"/>
      </rPr>
      <t xml:space="preserve">格局被外生资本打崩（补贴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地方招商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一级热钱）</t>
    </r>
  </si>
  <si>
    <t xml:space="preserve">死法四</t>
  </si>
  <si>
    <r>
      <rPr>
        <sz val="9"/>
        <color rgb="FF0000FF"/>
        <rFont val="Noto Sans CJK SC"/>
        <family val="2"/>
      </rPr>
      <t xml:space="preserve">金额</t>
    </r>
    <r>
      <rPr>
        <sz val="9"/>
        <color rgb="FF0000FF"/>
        <rFont val="KaiTi"/>
        <family val="0"/>
        <charset val="1"/>
      </rPr>
      <t xml:space="preserve">TAM</t>
    </r>
    <r>
      <rPr>
        <sz val="9"/>
        <color rgb="FF0000FF"/>
        <rFont val="Noto Sans CJK SC"/>
        <family val="2"/>
      </rPr>
      <t xml:space="preserve">见顶早于物理</t>
    </r>
    <r>
      <rPr>
        <sz val="9"/>
        <color rgb="FF0000FF"/>
        <rFont val="KaiTi"/>
        <family val="0"/>
        <charset val="1"/>
      </rPr>
      <t xml:space="preserve">TAM</t>
    </r>
    <r>
      <rPr>
        <sz val="9"/>
        <color rgb="FF0000FF"/>
        <rFont val="Noto Sans CJK SC"/>
        <family val="2"/>
      </rPr>
      <t xml:space="preserve">（降价快于放量）</t>
    </r>
  </si>
  <si>
    <t xml:space="preserve">死法五</t>
  </si>
  <si>
    <t xml:space="preserve">单耗下降吃掉渗透率上升，量增而值不增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</si>
  <si>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A </t>
    </r>
    <r>
      <rPr>
        <b val="true"/>
        <sz val="10.5"/>
        <color rgb="FF1F3864"/>
        <rFont val="Noto Sans CJK SC"/>
        <family val="2"/>
      </rPr>
      <t xml:space="preserve">问题定义</t>
    </r>
  </si>
  <si>
    <r>
      <rPr>
        <b val="true"/>
        <sz val="8.5"/>
        <color rgb="FF000000"/>
        <rFont val="Noto Sans CJK SC"/>
        <family val="2"/>
      </rPr>
      <t xml:space="preserve">中期（</t>
    </r>
    <r>
      <rPr>
        <b val="true"/>
        <sz val="8.5"/>
        <color rgb="FF000000"/>
        <rFont val="KaiTi"/>
        <family val="0"/>
        <charset val="1"/>
      </rPr>
      <t xml:space="preserve">3–6Q</t>
    </r>
    <r>
      <rPr>
        <b val="true"/>
        <sz val="8.5"/>
        <color rgb="FF000000"/>
        <rFont val="Noto Sans CJK SC"/>
        <family val="2"/>
      </rPr>
      <t xml:space="preserve">）</t>
    </r>
  </si>
  <si>
    <t xml:space="preserve">预期的修正方向与斜率（一阶导、二阶导），不是水平值</t>
  </si>
  <si>
    <r>
      <rPr>
        <sz val="8.5"/>
        <color rgb="FF000000"/>
        <rFont val="Noto Sans CJK SC"/>
        <family val="2"/>
      </rPr>
      <t xml:space="preserve">能写出未来</t>
    </r>
    <r>
      <rPr>
        <sz val="8.5"/>
        <color rgb="FF000000"/>
        <rFont val="KaiTi"/>
        <family val="0"/>
        <charset val="1"/>
      </rPr>
      <t xml:space="preserve">6</t>
    </r>
    <r>
      <rPr>
        <sz val="8.5"/>
        <color rgb="FF000000"/>
        <rFont val="Noto Sans CJK SC"/>
        <family val="2"/>
      </rPr>
      <t xml:space="preserve">季的</t>
    </r>
    <r>
      <rPr>
        <sz val="8.5"/>
        <color rgb="FF000000"/>
        <rFont val="KaiTi"/>
        <family val="0"/>
        <charset val="1"/>
      </rPr>
      <t xml:space="preserve">QoQ</t>
    </r>
    <r>
      <rPr>
        <sz val="8.5"/>
        <color rgb="FF000000"/>
        <rFont val="Noto Sans CJK SC"/>
        <family val="2"/>
      </rPr>
      <t xml:space="preserve">斜率路径</t>
    </r>
  </si>
  <si>
    <t xml:space="preserve">自建季度模型</t>
  </si>
  <si>
    <r>
      <rPr>
        <sz val="8.5"/>
        <color rgb="FF000000"/>
        <rFont val="Noto Sans CJK SC"/>
        <family val="2"/>
      </rPr>
      <t xml:space="preserve">写不出斜率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还在做长期</t>
    </r>
  </si>
  <si>
    <r>
      <rPr>
        <sz val="8.5"/>
        <color rgb="FFC00000"/>
        <rFont val="Noto Sans CJK SC"/>
        <family val="2"/>
      </rPr>
      <t xml:space="preserve">用</t>
    </r>
    <r>
      <rPr>
        <sz val="8.5"/>
        <color rgb="FFC00000"/>
        <rFont val="KaiTi"/>
        <family val="0"/>
        <charset val="1"/>
      </rPr>
      <t xml:space="preserve">level</t>
    </r>
    <r>
      <rPr>
        <sz val="8.5"/>
        <color rgb="FFC00000"/>
        <rFont val="Noto Sans CJK SC"/>
        <family val="2"/>
      </rPr>
      <t xml:space="preserve">思维做中期</t>
    </r>
  </si>
  <si>
    <r>
      <rPr>
        <sz val="9"/>
        <color rgb="FF0000FF"/>
        <rFont val="Noto Sans CJK SC"/>
        <family val="2"/>
      </rPr>
      <t xml:space="preserve">这一轮向上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向下的斜率多陡、什么时候拐</t>
    </r>
  </si>
  <si>
    <r>
      <rPr>
        <sz val="8.5"/>
        <color rgb="FF000000"/>
        <rFont val="Noto Sans CJK SC"/>
        <family val="2"/>
      </rPr>
      <t xml:space="preserve">给出拐点季度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置信度</t>
    </r>
  </si>
  <si>
    <t xml:space="preserve">给不出拐点季度</t>
  </si>
  <si>
    <t xml:space="preserve">只说「景气度好」</t>
  </si>
  <si>
    <r>
      <rPr>
        <sz val="9"/>
        <color rgb="FF0000FF"/>
        <rFont val="Noto Sans CJK SC"/>
        <family val="2"/>
      </rPr>
      <t xml:space="preserve">季度级斜率要对；绝对值可有</t>
    </r>
    <r>
      <rPr>
        <sz val="9"/>
        <color rgb="FF0000FF"/>
        <rFont val="KaiTi"/>
        <family val="0"/>
        <charset val="1"/>
      </rPr>
      <t xml:space="preserve">±15%</t>
    </r>
    <r>
      <rPr>
        <sz val="9"/>
        <color rgb="FF0000FF"/>
        <rFont val="Noto Sans CJK SC"/>
        <family val="2"/>
      </rPr>
      <t xml:space="preserve">误差</t>
    </r>
  </si>
  <si>
    <t xml:space="preserve">连续两季斜率方向判对</t>
  </si>
  <si>
    <r>
      <rPr>
        <sz val="8.5"/>
        <color rgb="FF7F7F7F"/>
        <rFont val="Noto Sans CJK SC"/>
        <family val="2"/>
      </rPr>
      <t xml:space="preserve">模型</t>
    </r>
    <r>
      <rPr>
        <sz val="8.5"/>
        <color rgb="FF7F7F7F"/>
        <rFont val="KaiTi"/>
        <family val="0"/>
        <charset val="1"/>
      </rPr>
      <t xml:space="preserve">vs</t>
    </r>
    <r>
      <rPr>
        <sz val="8.5"/>
        <color rgb="FF7F7F7F"/>
        <rFont val="Noto Sans CJK SC"/>
        <family val="2"/>
      </rPr>
      <t xml:space="preserve">实际</t>
    </r>
  </si>
  <si>
    <t xml:space="preserve">连续两季判反</t>
  </si>
  <si>
    <t xml:space="preserve">追求年度精度忽略季度节奏</t>
  </si>
  <si>
    <r>
      <rPr>
        <sz val="9"/>
        <color rgb="FF0000FF"/>
        <rFont val="KaiTi"/>
        <family val="0"/>
        <charset val="1"/>
      </rPr>
      <t xml:space="preserve">40 : 40 : 40→</t>
    </r>
    <r>
      <rPr>
        <sz val="9"/>
        <color rgb="FF0000FF"/>
        <rFont val="Noto Sans CJK SC"/>
        <family val="2"/>
      </rPr>
      <t xml:space="preserve">实为 </t>
    </r>
    <r>
      <rPr>
        <sz val="9"/>
        <color rgb="FF0000FF"/>
        <rFont val="KaiTi"/>
        <family val="0"/>
        <charset val="1"/>
      </rPr>
      <t xml:space="preserve">40:40:20</t>
    </r>
    <r>
      <rPr>
        <sz val="9"/>
        <color rgb="FF0000FF"/>
        <rFont val="Noto Sans CJK SC"/>
        <family val="2"/>
      </rPr>
      <t xml:space="preserve">；现实与信念等重</t>
    </r>
  </si>
  <si>
    <r>
      <rPr>
        <sz val="8.5"/>
        <color rgb="FF000000"/>
        <rFont val="KaiTi"/>
        <family val="0"/>
        <charset val="1"/>
      </rPr>
      <t xml:space="preserve">M</t>
    </r>
    <r>
      <rPr>
        <sz val="8.5"/>
        <color rgb="FF000000"/>
        <rFont val="Noto Sans CJK SC"/>
        <family val="2"/>
      </rPr>
      <t xml:space="preserve">层不低于</t>
    </r>
    <r>
      <rPr>
        <sz val="8.5"/>
        <color rgb="FF000000"/>
        <rFont val="KaiTi"/>
        <family val="0"/>
        <charset val="1"/>
      </rPr>
      <t xml:space="preserve">35%</t>
    </r>
  </si>
  <si>
    <r>
      <rPr>
        <sz val="8.5"/>
        <color rgb="FFC00000"/>
        <rFont val="Noto Sans CJK SC"/>
        <family val="2"/>
      </rPr>
      <t xml:space="preserve">中期不看</t>
    </r>
    <r>
      <rPr>
        <sz val="8.5"/>
        <color rgb="FFC00000"/>
        <rFont val="KaiTi"/>
        <family val="0"/>
        <charset val="1"/>
      </rPr>
      <t xml:space="preserve">consensus</t>
    </r>
  </si>
  <si>
    <t xml:space="preserve">半衰期</t>
  </si>
  <si>
    <r>
      <rPr>
        <sz val="9"/>
        <color rgb="FF0000FF"/>
        <rFont val="KaiTi"/>
        <family val="0"/>
        <charset val="1"/>
      </rPr>
      <t xml:space="preserve">1–2</t>
    </r>
    <r>
      <rPr>
        <sz val="9"/>
        <color rgb="FF0000FF"/>
        <rFont val="Noto Sans CJK SC"/>
        <family val="2"/>
      </rPr>
      <t xml:space="preserve">季；每个财报季后强制重跑</t>
    </r>
  </si>
  <si>
    <r>
      <rPr>
        <sz val="8.5"/>
        <color rgb="FF000000"/>
        <rFont val="Noto Sans CJK SC"/>
        <family val="2"/>
      </rPr>
      <t xml:space="preserve">超过</t>
    </r>
    <r>
      <rPr>
        <sz val="8.5"/>
        <color rgb="FF000000"/>
        <rFont val="KaiTi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季未更新即失效</t>
    </r>
  </si>
  <si>
    <t xml:space="preserve">模型版本号</t>
  </si>
  <si>
    <t xml:space="preserve">漏更</t>
  </si>
  <si>
    <t xml:space="preserve">一年只更一次模型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</si>
  <si>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B </t>
    </r>
    <r>
      <rPr>
        <b val="true"/>
        <sz val="10.5"/>
        <color rgb="FF1F3864"/>
        <rFont val="Noto Sans CJK SC"/>
        <family val="2"/>
      </rPr>
      <t xml:space="preserve">这一轮的定义</t>
    </r>
  </si>
  <si>
    <r>
      <rPr>
        <sz val="8.5"/>
        <color rgb="FF7F7F7F"/>
        <rFont val="KaiTi"/>
        <family val="0"/>
        <charset val="1"/>
      </rPr>
      <t xml:space="preserve">B </t>
    </r>
    <r>
      <rPr>
        <sz val="8.5"/>
        <color rgb="FF7F7F7F"/>
        <rFont val="Noto Sans CJK SC"/>
        <family val="2"/>
      </rPr>
      <t xml:space="preserve">这一轮的定义</t>
    </r>
  </si>
  <si>
    <t xml:space="preserve">上行来源四分类</t>
  </si>
  <si>
    <r>
      <rPr>
        <sz val="9"/>
        <color rgb="FF0000FF"/>
        <rFont val="Noto Sans CJK SC"/>
        <family val="2"/>
      </rPr>
      <t xml:space="preserve">周期复苏 </t>
    </r>
    <r>
      <rPr>
        <sz val="9"/>
        <color rgb="FF0000FF"/>
        <rFont val="KaiTi"/>
        <family val="0"/>
        <charset val="1"/>
      </rPr>
      <t xml:space="preserve">/ </t>
    </r>
    <r>
      <rPr>
        <sz val="9"/>
        <color rgb="FF0000FF"/>
        <rFont val="Noto Sans CJK SC"/>
        <family val="2"/>
      </rPr>
      <t xml:space="preserve">渗透率加速 </t>
    </r>
    <r>
      <rPr>
        <sz val="9"/>
        <color rgb="FF0000FF"/>
        <rFont val="KaiTi"/>
        <family val="0"/>
        <charset val="1"/>
      </rPr>
      <t xml:space="preserve">/ </t>
    </r>
    <r>
      <rPr>
        <sz val="9"/>
        <color rgb="FF0000FF"/>
        <rFont val="Noto Sans CJK SC"/>
        <family val="2"/>
      </rPr>
      <t xml:space="preserve">份额抢夺 </t>
    </r>
    <r>
      <rPr>
        <sz val="9"/>
        <color rgb="FF0000FF"/>
        <rFont val="KaiTi"/>
        <family val="0"/>
        <charset val="1"/>
      </rPr>
      <t xml:space="preserve">/ </t>
    </r>
    <r>
      <rPr>
        <sz val="9"/>
        <color rgb="FF0000FF"/>
        <rFont val="Noto Sans CJK SC"/>
        <family val="2"/>
      </rPr>
      <t xml:space="preserve">价格上涨——必须归类</t>
    </r>
  </si>
  <si>
    <t xml:space="preserve">只能归一个主因，次因另列</t>
  </si>
  <si>
    <t xml:space="preserve">收入拆解</t>
  </si>
  <si>
    <t xml:space="preserve">主因归错</t>
  </si>
  <si>
    <t xml:space="preserve">把价格上涨当成需求爆发</t>
  </si>
  <si>
    <t xml:space="preserve">这一轮起点</t>
  </si>
  <si>
    <t xml:space="preserve">从哪个季度开始、由什么触发</t>
  </si>
  <si>
    <t xml:space="preserve">可指认起点季度与触发事件</t>
  </si>
  <si>
    <r>
      <rPr>
        <sz val="8.5"/>
        <color rgb="FF7F7F7F"/>
        <rFont val="Noto Sans CJK SC"/>
        <family val="2"/>
      </rPr>
      <t xml:space="preserve">价格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订单序列</t>
    </r>
  </si>
  <si>
    <t xml:space="preserve">起点不可指认</t>
  </si>
  <si>
    <t xml:space="preserve">把反弹当反转</t>
  </si>
  <si>
    <t xml:space="preserve">上一轮可比</t>
  </si>
  <si>
    <t xml:space="preserve">上一轮同类上行持续几季、幅度多少</t>
  </si>
  <si>
    <r>
      <rPr>
        <sz val="8.5"/>
        <color rgb="FF000000"/>
        <rFont val="Noto Sans CJK SC"/>
        <family val="2"/>
      </rPr>
      <t xml:space="preserve">历史</t>
    </r>
    <r>
      <rPr>
        <sz val="8.5"/>
        <color rgb="FF000000"/>
        <rFont val="KaiTi"/>
        <family val="0"/>
        <charset val="1"/>
      </rPr>
      <t xml:space="preserve">base rate</t>
    </r>
  </si>
  <si>
    <t xml:space="preserve">历史数据</t>
  </si>
  <si>
    <t xml:space="preserve">本轮结构与上轮不同</t>
  </si>
  <si>
    <t xml:space="preserve">无脑套用上轮时长</t>
  </si>
  <si>
    <t xml:space="preserve">这一轮的天花板</t>
  </si>
  <si>
    <r>
      <rPr>
        <sz val="9"/>
        <color rgb="FF0000FF"/>
        <rFont val="Noto Sans CJK SC"/>
        <family val="2"/>
      </rPr>
      <t xml:space="preserve">本轮量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价的上限由什么约束（产能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需求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资金）</t>
    </r>
  </si>
  <si>
    <t xml:space="preserve">约束项可指名并量化</t>
  </si>
  <si>
    <t xml:space="preserve">供需表</t>
  </si>
  <si>
    <t xml:space="preserve">约束项被解除</t>
  </si>
  <si>
    <t xml:space="preserve">假设无天花板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</si>
  <si>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C </t>
    </r>
    <r>
      <rPr>
        <b val="true"/>
        <sz val="10.5"/>
        <color rgb="FF1F3864"/>
        <rFont val="Noto Sans CJK SC"/>
        <family val="2"/>
      </rPr>
      <t xml:space="preserve">供需缺口量化</t>
    </r>
  </si>
  <si>
    <r>
      <rPr>
        <sz val="8.5"/>
        <color rgb="FF7F7F7F"/>
        <rFont val="KaiTi"/>
        <family val="0"/>
        <charset val="1"/>
      </rPr>
      <t xml:space="preserve">C </t>
    </r>
    <r>
      <rPr>
        <sz val="8.5"/>
        <color rgb="FF7F7F7F"/>
        <rFont val="Noto Sans CJK SC"/>
        <family val="2"/>
      </rPr>
      <t xml:space="preserve">供需缺口量化</t>
    </r>
  </si>
  <si>
    <r>
      <rPr>
        <b val="true"/>
        <sz val="9"/>
        <color rgb="FF000000"/>
        <rFont val="Noto Sans CJK SC"/>
        <family val="2"/>
      </rPr>
      <t xml:space="preserve">名义产能 </t>
    </r>
    <r>
      <rPr>
        <b val="true"/>
        <sz val="9"/>
        <color rgb="FF000000"/>
        <rFont val="KaiTi"/>
        <family val="0"/>
        <charset val="1"/>
      </rPr>
      <t xml:space="preserve">vs </t>
    </r>
    <r>
      <rPr>
        <b val="true"/>
        <sz val="9"/>
        <color rgb="FF000000"/>
        <rFont val="Noto Sans CJK SC"/>
        <family val="2"/>
      </rPr>
      <t xml:space="preserve">有效产能</t>
    </r>
  </si>
  <si>
    <t xml:space="preserve">名义→有效（良率、稼动、产品结构）的折扣率</t>
  </si>
  <si>
    <r>
      <rPr>
        <sz val="8.5"/>
        <color rgb="FF000000"/>
        <rFont val="Noto Sans CJK SC"/>
        <family val="2"/>
      </rPr>
      <t xml:space="preserve">有效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名义 比值</t>
    </r>
  </si>
  <si>
    <r>
      <rPr>
        <sz val="8.5"/>
        <color rgb="FF7F7F7F"/>
        <rFont val="Noto Sans CJK SC"/>
        <family val="2"/>
      </rPr>
      <t xml:space="preserve">一手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公告</t>
    </r>
  </si>
  <si>
    <t xml:space="preserve">折扣率被误估</t>
  </si>
  <si>
    <t xml:space="preserve">用名义产能算供给</t>
  </si>
  <si>
    <t xml:space="preserve">在建与投产时点</t>
  </si>
  <si>
    <t xml:space="preserve">逐个项目的投产季度与爬坡曲线</t>
  </si>
  <si>
    <t xml:space="preserve">项目级清单，精确到季</t>
  </si>
  <si>
    <r>
      <rPr>
        <sz val="8.5"/>
        <color rgb="FF7F7F7F"/>
        <rFont val="Noto Sans CJK SC"/>
        <family val="2"/>
      </rPr>
      <t xml:space="preserve">扩产公告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设备订单</t>
    </r>
  </si>
  <si>
    <t xml:space="preserve">项目提前投产</t>
  </si>
  <si>
    <t xml:space="preserve">只看总量不看时点</t>
  </si>
  <si>
    <t xml:space="preserve">缺口的绝对量与持续季度</t>
  </si>
  <si>
    <r>
      <rPr>
        <sz val="9"/>
        <color rgb="FF0000FF"/>
        <rFont val="Noto Sans CJK SC"/>
        <family val="2"/>
      </rPr>
      <t xml:space="preserve">缺口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需求 的百分比，及归零的季度</t>
    </r>
  </si>
  <si>
    <r>
      <rPr>
        <sz val="8.5"/>
        <color rgb="FF000000"/>
        <rFont val="Noto Sans CJK SC"/>
        <family val="2"/>
      </rPr>
      <t xml:space="preserve">缺口</t>
    </r>
    <r>
      <rPr>
        <sz val="8.5"/>
        <color rgb="FF000000"/>
        <rFont val="KaiTi"/>
        <family val="0"/>
        <charset val="1"/>
      </rPr>
      <t xml:space="preserve">&gt;5%</t>
    </r>
    <r>
      <rPr>
        <sz val="8.5"/>
        <color rgb="FF000000"/>
        <rFont val="Noto Sans CJK SC"/>
        <family val="2"/>
      </rPr>
      <t xml:space="preserve">才有涨价条件</t>
    </r>
  </si>
  <si>
    <t xml:space="preserve">供需平衡表</t>
  </si>
  <si>
    <t xml:space="preserve">缺口提前归零</t>
  </si>
  <si>
    <t xml:space="preserve">只说「紧缺」不给数</t>
  </si>
  <si>
    <t xml:space="preserve">边际供给来源</t>
  </si>
  <si>
    <r>
      <rPr>
        <sz val="9"/>
        <color rgb="FF0000FF"/>
        <rFont val="Noto Sans CJK SC"/>
        <family val="2"/>
      </rPr>
      <t xml:space="preserve">下一批供给从哪来：二线复产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进口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替代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库存</t>
    </r>
  </si>
  <si>
    <t xml:space="preserve">四个来源逐一排查</t>
  </si>
  <si>
    <t xml:space="preserve">一手</t>
  </si>
  <si>
    <t xml:space="preserve">忽略库存释放</t>
  </si>
  <si>
    <t xml:space="preserve">只算新建产能</t>
  </si>
  <si>
    <t xml:space="preserve">设备订单领先指标</t>
  </si>
  <si>
    <r>
      <rPr>
        <sz val="9"/>
        <color rgb="FF0000FF"/>
        <rFont val="Noto Sans CJK SC"/>
        <family val="2"/>
      </rPr>
      <t xml:space="preserve">设备商订单增速 </t>
    </r>
    <r>
      <rPr>
        <sz val="9"/>
        <color rgb="FF0000FF"/>
        <rFont val="KaiTi"/>
        <family val="0"/>
        <charset val="1"/>
      </rPr>
      <t xml:space="preserve">&gt; </t>
    </r>
    <r>
      <rPr>
        <sz val="9"/>
        <color rgb="FF0000FF"/>
        <rFont val="Noto Sans CJK SC"/>
        <family val="2"/>
      </rPr>
      <t xml:space="preserve">终端需求增速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供给正在超配</t>
    </r>
  </si>
  <si>
    <r>
      <rPr>
        <sz val="8.5"/>
        <color rgb="FF000000"/>
        <rFont val="Noto Sans CJK SC"/>
        <family val="2"/>
      </rPr>
      <t xml:space="preserve">连续两季设备增速</t>
    </r>
    <r>
      <rPr>
        <sz val="8.5"/>
        <color rgb="FF000000"/>
        <rFont val="KaiTi"/>
        <family val="0"/>
        <charset val="1"/>
      </rPr>
      <t xml:space="preserve">&gt;</t>
    </r>
    <r>
      <rPr>
        <sz val="8.5"/>
        <color rgb="FF000000"/>
        <rFont val="Noto Sans CJK SC"/>
        <family val="2"/>
      </rPr>
      <t xml:space="preserve">需求增速</t>
    </r>
  </si>
  <si>
    <t xml:space="preserve">设备商财报</t>
  </si>
  <si>
    <t xml:space="preserve">出现背离</t>
  </si>
  <si>
    <t xml:space="preserve">不跟踪设备订单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</si>
  <si>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D </t>
    </r>
    <r>
      <rPr>
        <b val="true"/>
        <sz val="10.5"/>
        <color rgb="FF1F3864"/>
        <rFont val="Noto Sans CJK SC"/>
        <family val="2"/>
      </rPr>
      <t xml:space="preserve">订单→收入→利润 三段时滞</t>
    </r>
  </si>
  <si>
    <r>
      <rPr>
        <sz val="8.5"/>
        <color rgb="FF7F7F7F"/>
        <rFont val="KaiTi"/>
        <family val="0"/>
        <charset val="1"/>
      </rPr>
      <t xml:space="preserve">D </t>
    </r>
    <r>
      <rPr>
        <sz val="8.5"/>
        <color rgb="FF7F7F7F"/>
        <rFont val="Noto Sans CJK SC"/>
        <family val="2"/>
      </rPr>
      <t xml:space="preserve">订单→收入→利润 三段时滞</t>
    </r>
  </si>
  <si>
    <t xml:space="preserve">订单→收入时滞</t>
  </si>
  <si>
    <t xml:space="preserve">交付周期、验收节奏；决定订单何时进表</t>
  </si>
  <si>
    <t xml:space="preserve">按季给出转化比例</t>
  </si>
  <si>
    <r>
      <rPr>
        <sz val="8.5"/>
        <color rgb="FF7F7F7F"/>
        <rFont val="Noto Sans CJK SC"/>
        <family val="2"/>
      </rPr>
      <t xml:space="preserve">合同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历史</t>
    </r>
  </si>
  <si>
    <t xml:space="preserve">时滞被拉长</t>
  </si>
  <si>
    <t xml:space="preserve">把订单当收入</t>
  </si>
  <si>
    <t xml:space="preserve">收入→利润时滞</t>
  </si>
  <si>
    <t xml:space="preserve">爬坡成本、折旧起算、费用前置</t>
  </si>
  <si>
    <r>
      <rPr>
        <sz val="8.5"/>
        <color rgb="FF000000"/>
        <rFont val="Noto Sans CJK SC"/>
        <family val="2"/>
      </rPr>
      <t xml:space="preserve">首季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通常显著低于稳态</t>
    </r>
  </si>
  <si>
    <t xml:space="preserve">历史新产能财报</t>
  </si>
  <si>
    <t xml:space="preserve">爬坡慢于预期</t>
  </si>
  <si>
    <r>
      <rPr>
        <sz val="8.5"/>
        <color rgb="FFC00000"/>
        <rFont val="Noto Sans CJK SC"/>
        <family val="2"/>
      </rPr>
      <t xml:space="preserve">按稳态</t>
    </r>
    <r>
      <rPr>
        <sz val="8.5"/>
        <color rgb="FFC00000"/>
        <rFont val="KaiTi"/>
        <family val="0"/>
        <charset val="1"/>
      </rPr>
      <t xml:space="preserve">OPM</t>
    </r>
    <r>
      <rPr>
        <sz val="8.5"/>
        <color rgb="FFC00000"/>
        <rFont val="Noto Sans CJK SC"/>
        <family val="2"/>
      </rPr>
      <t xml:space="preserve">算首季利润</t>
    </r>
  </si>
  <si>
    <r>
      <rPr>
        <b val="true"/>
        <sz val="9"/>
        <color rgb="FF000000"/>
        <rFont val="KaiTi"/>
        <family val="0"/>
        <charset val="1"/>
      </rPr>
      <t xml:space="preserve">book-to-bill </t>
    </r>
    <r>
      <rPr>
        <b val="true"/>
        <sz val="9"/>
        <color rgb="FF000000"/>
        <rFont val="Noto Sans CJK SC"/>
        <family val="2"/>
      </rPr>
      <t xml:space="preserve">的位置</t>
    </r>
  </si>
  <si>
    <r>
      <rPr>
        <sz val="9"/>
        <color rgb="FF0000FF"/>
        <rFont val="KaiTi"/>
        <family val="0"/>
        <charset val="1"/>
      </rPr>
      <t xml:space="preserve">&gt;1 </t>
    </r>
    <r>
      <rPr>
        <sz val="9"/>
        <color rgb="FF0000FF"/>
        <rFont val="Noto Sans CJK SC"/>
        <family val="2"/>
      </rPr>
      <t xml:space="preserve">且上升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早期；</t>
    </r>
    <r>
      <rPr>
        <sz val="9"/>
        <color rgb="FF0000FF"/>
        <rFont val="KaiTi"/>
        <family val="0"/>
        <charset val="1"/>
      </rPr>
      <t xml:space="preserve">&gt;1 </t>
    </r>
    <r>
      <rPr>
        <sz val="9"/>
        <color rgb="FF0000FF"/>
        <rFont val="Noto Sans CJK SC"/>
        <family val="2"/>
      </rPr>
      <t xml:space="preserve">但回落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中段；</t>
    </r>
    <r>
      <rPr>
        <sz val="9"/>
        <color rgb="FF0000FF"/>
        <rFont val="KaiTi"/>
        <family val="0"/>
        <charset val="1"/>
      </rPr>
      <t xml:space="preserve">&lt;1 = </t>
    </r>
    <r>
      <rPr>
        <sz val="9"/>
        <color rgb="FF0000FF"/>
        <rFont val="Noto Sans CJK SC"/>
        <family val="2"/>
      </rPr>
      <t xml:space="preserve">转折</t>
    </r>
  </si>
  <si>
    <t xml:space="preserve">连续三季趋势</t>
  </si>
  <si>
    <r>
      <rPr>
        <sz val="8.5"/>
        <color rgb="FF7F7F7F"/>
        <rFont val="Noto Sans CJK SC"/>
        <family val="2"/>
      </rPr>
      <t xml:space="preserve">财报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一手</t>
    </r>
  </si>
  <si>
    <r>
      <rPr>
        <sz val="8.5"/>
        <color rgb="FF000000"/>
        <rFont val="KaiTi"/>
        <family val="0"/>
        <charset val="1"/>
      </rPr>
      <t xml:space="preserve">B2B</t>
    </r>
    <r>
      <rPr>
        <sz val="8.5"/>
        <color rgb="FF000000"/>
        <rFont val="Noto Sans CJK SC"/>
        <family val="2"/>
      </rPr>
      <t xml:space="preserve">跌破</t>
    </r>
    <r>
      <rPr>
        <sz val="8.5"/>
        <color rgb="FF000000"/>
        <rFont val="KaiTi"/>
        <family val="0"/>
        <charset val="1"/>
      </rPr>
      <t xml:space="preserve">1</t>
    </r>
  </si>
  <si>
    <t xml:space="preserve">只看单季数值</t>
  </si>
  <si>
    <t xml:space="preserve">三条曲线的拐点差</t>
  </si>
  <si>
    <r>
      <rPr>
        <sz val="9"/>
        <color rgb="FF0000FF"/>
        <rFont val="Noto Sans CJK SC"/>
        <family val="2"/>
      </rPr>
      <t xml:space="preserve">订单、收入、利润三条曲线的拐点可差</t>
    </r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季</t>
    </r>
  </si>
  <si>
    <t xml:space="preserve">分别标注三个拐点季度</t>
  </si>
  <si>
    <t xml:space="preserve">模型</t>
  </si>
  <si>
    <t xml:space="preserve">把三条当一条</t>
  </si>
  <si>
    <t xml:space="preserve">混淆订单拐点与利润拐点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</si>
  <si>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E </t>
    </r>
    <r>
      <rPr>
        <b val="true"/>
        <sz val="10.5"/>
        <color rgb="FF1F3864"/>
        <rFont val="Noto Sans CJK SC"/>
        <family val="2"/>
      </rPr>
      <t xml:space="preserve">产能爬坡与良率</t>
    </r>
  </si>
  <si>
    <r>
      <rPr>
        <sz val="8.5"/>
        <color rgb="FF7F7F7F"/>
        <rFont val="KaiTi"/>
        <family val="0"/>
        <charset val="1"/>
      </rPr>
      <t xml:space="preserve">E </t>
    </r>
    <r>
      <rPr>
        <sz val="8.5"/>
        <color rgb="FF7F7F7F"/>
        <rFont val="Noto Sans CJK SC"/>
        <family val="2"/>
      </rPr>
      <t xml:space="preserve">产能爬坡与良率</t>
    </r>
  </si>
  <si>
    <t xml:space="preserve">爬坡曲线形状</t>
  </si>
  <si>
    <t xml:space="preserve">从投产到满产的季度数与良率路径</t>
  </si>
  <si>
    <r>
      <rPr>
        <sz val="8.5"/>
        <color rgb="FF000000"/>
        <rFont val="Noto Sans CJK SC"/>
        <family val="2"/>
      </rPr>
      <t xml:space="preserve">典型</t>
    </r>
    <r>
      <rPr>
        <sz val="8.5"/>
        <color rgb="FF000000"/>
        <rFont val="KaiTi"/>
        <family val="0"/>
        <charset val="1"/>
      </rPr>
      <t xml:space="preserve">6–8</t>
    </r>
    <r>
      <rPr>
        <sz val="8.5"/>
        <color rgb="FF000000"/>
        <rFont val="Noto Sans CJK SC"/>
        <family val="2"/>
      </rPr>
      <t xml:space="preserve">季；先验</t>
    </r>
    <r>
      <rPr>
        <sz val="8.5"/>
        <color rgb="FF000000"/>
        <rFont val="KaiTi"/>
        <family val="0"/>
        <charset val="1"/>
      </rPr>
      <t xml:space="preserve">vs</t>
    </r>
    <r>
      <rPr>
        <sz val="8.5"/>
        <color rgb="FF000000"/>
        <rFont val="Noto Sans CJK SC"/>
        <family val="2"/>
      </rPr>
      <t xml:space="preserve">实际</t>
    </r>
  </si>
  <si>
    <t xml:space="preserve">爬坡超期两季以上</t>
  </si>
  <si>
    <t xml:space="preserve">假设当季满产</t>
  </si>
  <si>
    <t xml:space="preserve">良率对毛利的杠杆</t>
  </si>
  <si>
    <r>
      <rPr>
        <sz val="9"/>
        <color rgb="FF0000FF"/>
        <rFont val="Noto Sans CJK SC"/>
        <family val="2"/>
      </rPr>
      <t xml:space="preserve">良率每提升</t>
    </r>
    <r>
      <rPr>
        <sz val="9"/>
        <color rgb="FF0000FF"/>
        <rFont val="KaiTi"/>
        <family val="0"/>
        <charset val="1"/>
      </rPr>
      <t xml:space="preserve">1pct</t>
    </r>
    <r>
      <rPr>
        <sz val="9"/>
        <color rgb="FF0000FF"/>
        <rFont val="Noto Sans CJK SC"/>
        <family val="2"/>
      </rPr>
      <t xml:space="preserve">对应毛利率提升多少</t>
    </r>
  </si>
  <si>
    <t xml:space="preserve">可量化的弹性系数</t>
  </si>
  <si>
    <r>
      <rPr>
        <sz val="8.5"/>
        <color rgb="FF7F7F7F"/>
        <rFont val="KaiTi"/>
        <family val="0"/>
        <charset val="1"/>
      </rPr>
      <t xml:space="preserve">BOM+</t>
    </r>
    <r>
      <rPr>
        <sz val="8.5"/>
        <color rgb="FF7F7F7F"/>
        <rFont val="Noto Sans CJK SC"/>
        <family val="2"/>
      </rPr>
      <t xml:space="preserve">成本模型</t>
    </r>
  </si>
  <si>
    <t xml:space="preserve">良率停滞</t>
  </si>
  <si>
    <t xml:space="preserve">忽略良率非线性</t>
  </si>
  <si>
    <t xml:space="preserve">单位折旧的稀释</t>
  </si>
  <si>
    <t xml:space="preserve">新产能折旧在爬坡期压制毛利</t>
  </si>
  <si>
    <r>
      <rPr>
        <sz val="8.5"/>
        <color rgb="FF000000"/>
        <rFont val="Noto Sans CJK SC"/>
        <family val="2"/>
      </rPr>
      <t xml:space="preserve">首年折旧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收入 比重</t>
    </r>
  </si>
  <si>
    <r>
      <rPr>
        <sz val="8.5"/>
        <color rgb="FF7F7F7F"/>
        <rFont val="Noto Sans CJK SC"/>
        <family val="2"/>
      </rPr>
      <t xml:space="preserve">资本开支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折旧政策</t>
    </r>
  </si>
  <si>
    <t xml:space="preserve">折旧政策变更</t>
  </si>
  <si>
    <t xml:space="preserve">忽略折旧前置</t>
  </si>
  <si>
    <t xml:space="preserve">产品结构切换</t>
  </si>
  <si>
    <t xml:space="preserve">高毛利产品占比变化对综合毛利的影响</t>
  </si>
  <si>
    <r>
      <rPr>
        <sz val="8.5"/>
        <color rgb="FF000000"/>
        <rFont val="Noto Sans CJK SC"/>
        <family val="2"/>
      </rPr>
      <t xml:space="preserve">结构效应拆分（量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价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结构）</t>
    </r>
  </si>
  <si>
    <t xml:space="preserve">分部数据</t>
  </si>
  <si>
    <t xml:space="preserve">结构反向</t>
  </si>
  <si>
    <t xml:space="preserve">把结构改善当价格上涨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</si>
  <si>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F </t>
    </r>
    <r>
      <rPr>
        <b val="true"/>
        <sz val="10.5"/>
        <color rgb="FF1F3864"/>
        <rFont val="Noto Sans CJK SC"/>
        <family val="2"/>
      </rPr>
      <t xml:space="preserve">价格趋势与传导</t>
    </r>
  </si>
  <si>
    <r>
      <rPr>
        <sz val="8.5"/>
        <color rgb="FF7F7F7F"/>
        <rFont val="KaiTi"/>
        <family val="0"/>
        <charset val="1"/>
      </rPr>
      <t xml:space="preserve">F </t>
    </r>
    <r>
      <rPr>
        <sz val="8.5"/>
        <color rgb="FF7F7F7F"/>
        <rFont val="Noto Sans CJK SC"/>
        <family val="2"/>
      </rPr>
      <t xml:space="preserve">价格趋势与传导</t>
    </r>
  </si>
  <si>
    <r>
      <rPr>
        <b val="true"/>
        <sz val="9"/>
        <color rgb="FF000000"/>
        <rFont val="Noto Sans CJK SC"/>
        <family val="2"/>
      </rPr>
      <t xml:space="preserve">现货 </t>
    </r>
    <r>
      <rPr>
        <b val="true"/>
        <sz val="9"/>
        <color rgb="FF000000"/>
        <rFont val="KaiTi"/>
        <family val="0"/>
        <charset val="1"/>
      </rPr>
      <t xml:space="preserve">vs </t>
    </r>
    <r>
      <rPr>
        <b val="true"/>
        <sz val="9"/>
        <color rgb="FF000000"/>
        <rFont val="Noto Sans CJK SC"/>
        <family val="2"/>
      </rPr>
      <t xml:space="preserve">长协的比例</t>
    </r>
  </si>
  <si>
    <t xml:space="preserve">现货占比决定价格弹性</t>
  </si>
  <si>
    <r>
      <rPr>
        <sz val="8.5"/>
        <color rgb="FF000000"/>
        <rFont val="Noto Sans CJK SC"/>
        <family val="2"/>
      </rPr>
      <t xml:space="preserve">现货占比</t>
    </r>
    <r>
      <rPr>
        <sz val="8.5"/>
        <color rgb="FF000000"/>
        <rFont val="KaiTi"/>
        <family val="0"/>
        <charset val="1"/>
      </rPr>
      <t xml:space="preserve">&gt;40%</t>
    </r>
    <r>
      <rPr>
        <sz val="8.5"/>
        <color rgb="FF000000"/>
        <rFont val="Noto Sans CJK SC"/>
        <family val="2"/>
      </rPr>
      <t xml:space="preserve">即高弹性</t>
    </r>
  </si>
  <si>
    <t xml:space="preserve">长协重签压低弹性</t>
  </si>
  <si>
    <t xml:space="preserve">用现货价算全部收入</t>
  </si>
  <si>
    <t xml:space="preserve">涨价的可持续季度数</t>
  </si>
  <si>
    <r>
      <rPr>
        <sz val="9"/>
        <color rgb="FF0000FF"/>
        <rFont val="Noto Sans CJK SC"/>
        <family val="2"/>
      </rPr>
      <t xml:space="preserve">由格局形态决定：有序寡头</t>
    </r>
    <r>
      <rPr>
        <sz val="9"/>
        <color rgb="FF0000FF"/>
        <rFont val="KaiTi"/>
        <family val="0"/>
        <charset val="1"/>
      </rPr>
      <t xml:space="preserve">6–8</t>
    </r>
    <r>
      <rPr>
        <sz val="9"/>
        <color rgb="FF0000FF"/>
        <rFont val="Noto Sans CJK SC"/>
        <family val="2"/>
      </rPr>
      <t xml:space="preserve">季，完全竞争</t>
    </r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季</t>
    </r>
  </si>
  <si>
    <r>
      <rPr>
        <sz val="8.5"/>
        <color rgb="FF000000"/>
        <rFont val="Noto Sans CJK SC"/>
        <family val="2"/>
      </rPr>
      <t xml:space="preserve">见 </t>
    </r>
    <r>
      <rPr>
        <sz val="8.5"/>
        <color rgb="FF000000"/>
        <rFont val="KaiTi"/>
        <family val="0"/>
        <charset val="1"/>
      </rPr>
      <t xml:space="preserve">03 </t>
    </r>
    <r>
      <rPr>
        <sz val="8.5"/>
        <color rgb="FF000000"/>
        <rFont val="Noto Sans CJK SC"/>
        <family val="2"/>
      </rPr>
      <t xml:space="preserve">表映射</t>
    </r>
  </si>
  <si>
    <t xml:space="preserve">二线提前扩产</t>
  </si>
  <si>
    <t xml:space="preserve">假设涨价可持续</t>
  </si>
  <si>
    <t xml:space="preserve">成本传导系数</t>
  </si>
  <si>
    <t xml:space="preserve">上游涨价能传导多少、滞后几季</t>
  </si>
  <si>
    <r>
      <rPr>
        <sz val="8.5"/>
        <color rgb="FF000000"/>
        <rFont val="Noto Sans CJK SC"/>
        <family val="2"/>
      </rPr>
      <t xml:space="preserve">传导率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滞后季数</t>
    </r>
  </si>
  <si>
    <t xml:space="preserve">历史价格对</t>
  </si>
  <si>
    <t xml:space="preserve">传导率下降</t>
  </si>
  <si>
    <r>
      <rPr>
        <sz val="8.5"/>
        <color rgb="FFC00000"/>
        <rFont val="Noto Sans CJK SC"/>
        <family val="2"/>
      </rPr>
      <t xml:space="preserve">假设</t>
    </r>
    <r>
      <rPr>
        <sz val="8.5"/>
        <color rgb="FFC00000"/>
        <rFont val="KaiTi"/>
        <family val="0"/>
        <charset val="1"/>
      </rPr>
      <t xml:space="preserve">100%</t>
    </r>
    <r>
      <rPr>
        <sz val="8.5"/>
        <color rgb="FFC00000"/>
        <rFont val="Noto Sans CJK SC"/>
        <family val="2"/>
      </rPr>
      <t xml:space="preserve">传导</t>
    </r>
  </si>
  <si>
    <t xml:space="preserve">价格见顶的领先信号</t>
  </si>
  <si>
    <r>
      <rPr>
        <sz val="9"/>
        <color rgb="FF0000FF"/>
        <rFont val="Noto Sans CJK SC"/>
        <family val="2"/>
      </rPr>
      <t xml:space="preserve">下游开始砍单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库存天数上行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现货贴水</t>
    </r>
  </si>
  <si>
    <t xml:space="preserve">三者任意两项同时出现</t>
  </si>
  <si>
    <r>
      <rPr>
        <sz val="8.5"/>
        <color rgb="FF7F7F7F"/>
        <rFont val="Noto Sans CJK SC"/>
        <family val="2"/>
      </rPr>
      <t xml:space="preserve">一手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现货</t>
    </r>
  </si>
  <si>
    <t xml:space="preserve">出现即减仓</t>
  </si>
  <si>
    <t xml:space="preserve">只看价格本身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</si>
  <si>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G consensus </t>
    </r>
    <r>
      <rPr>
        <b val="true"/>
        <sz val="10.5"/>
        <color rgb="FF1F3864"/>
        <rFont val="Noto Sans CJK SC"/>
        <family val="2"/>
      </rPr>
      <t xml:space="preserve">位置与漂移</t>
    </r>
  </si>
  <si>
    <r>
      <rPr>
        <sz val="8.5"/>
        <color rgb="FF7F7F7F"/>
        <rFont val="KaiTi"/>
        <family val="0"/>
        <charset val="1"/>
      </rPr>
      <t xml:space="preserve">G consensus </t>
    </r>
    <r>
      <rPr>
        <sz val="8.5"/>
        <color rgb="FF7F7F7F"/>
        <rFont val="Noto Sans CJK SC"/>
        <family val="2"/>
      </rPr>
      <t xml:space="preserve">位置与漂移</t>
    </r>
  </si>
  <si>
    <t xml:space="preserve">覆盖密度</t>
  </si>
  <si>
    <r>
      <rPr>
        <sz val="9"/>
        <color rgb="FF0000FF"/>
        <rFont val="KaiTi"/>
        <family val="0"/>
        <charset val="1"/>
      </rPr>
      <t xml:space="preserve">&lt;3</t>
    </r>
    <r>
      <rPr>
        <sz val="9"/>
        <color rgb="FF0000FF"/>
        <rFont val="Noto Sans CJK SC"/>
        <family val="2"/>
      </rPr>
      <t xml:space="preserve">家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无锚，需自建；</t>
    </r>
    <r>
      <rPr>
        <sz val="9"/>
        <color rgb="FF0000FF"/>
        <rFont val="KaiTi"/>
        <family val="0"/>
        <charset val="1"/>
      </rPr>
      <t xml:space="preserve">&gt;15</t>
    </r>
    <r>
      <rPr>
        <sz val="9"/>
        <color rgb="FF0000FF"/>
        <rFont val="Noto Sans CJK SC"/>
        <family val="2"/>
      </rPr>
      <t xml:space="preserve">家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预期已充分</t>
    </r>
  </si>
  <si>
    <t xml:space="preserve">覆盖家数</t>
  </si>
  <si>
    <t xml:space="preserve">FMP/AlphaPai</t>
  </si>
  <si>
    <t xml:space="preserve">覆盖骤减</t>
  </si>
  <si>
    <r>
      <rPr>
        <sz val="8.5"/>
        <color rgb="FFC00000"/>
        <rFont val="Noto Sans CJK SC"/>
        <family val="2"/>
      </rPr>
      <t xml:space="preserve">无锚标的照套</t>
    </r>
    <r>
      <rPr>
        <sz val="8.5"/>
        <color rgb="FFC00000"/>
        <rFont val="KaiTi"/>
        <family val="0"/>
        <charset val="1"/>
      </rPr>
      <t xml:space="preserve">consensus</t>
    </r>
  </si>
  <si>
    <t xml:space="preserve">漂移形态四分类</t>
  </si>
  <si>
    <r>
      <rPr>
        <sz val="9"/>
        <color rgb="FF0000FF"/>
        <rFont val="Noto Sans CJK SC"/>
        <family val="2"/>
      </rPr>
      <t xml:space="preserve">追赶型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微调型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分裂型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下调型</t>
    </r>
  </si>
  <si>
    <r>
      <rPr>
        <sz val="8.5"/>
        <color rgb="FF000000"/>
        <rFont val="Noto Sans CJK SC"/>
        <family val="2"/>
      </rPr>
      <t xml:space="preserve">近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个月上下调记录</t>
    </r>
  </si>
  <si>
    <r>
      <rPr>
        <sz val="8.5"/>
        <color rgb="FF7F7F7F"/>
        <rFont val="KaiTi"/>
        <family val="0"/>
        <charset val="1"/>
      </rPr>
      <t xml:space="preserve">FMP/</t>
    </r>
    <r>
      <rPr>
        <sz val="8.5"/>
        <color rgb="FF7F7F7F"/>
        <rFont val="Noto Sans CJK SC"/>
        <family val="2"/>
      </rPr>
      <t xml:space="preserve">研报库</t>
    </r>
  </si>
  <si>
    <t xml:space="preserve">形态切换</t>
  </si>
  <si>
    <t xml:space="preserve">只看最新一致预期</t>
  </si>
  <si>
    <t xml:space="preserve">你的模型相对分位</t>
  </si>
  <si>
    <r>
      <rPr>
        <sz val="9"/>
        <color rgb="FF0000FF"/>
        <rFont val="Noto Sans CJK SC"/>
        <family val="2"/>
      </rPr>
      <t xml:space="preserve">自建预测在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分布的哪个分位</t>
    </r>
  </si>
  <si>
    <r>
      <rPr>
        <sz val="8.5"/>
        <color rgb="FF000000"/>
        <rFont val="Noto Sans CJK SC"/>
        <family val="2"/>
      </rPr>
      <t xml:space="preserve">目标：第</t>
    </r>
    <r>
      <rPr>
        <sz val="8.5"/>
        <color rgb="FF000000"/>
        <rFont val="KaiTi"/>
        <family val="0"/>
        <charset val="1"/>
      </rPr>
      <t xml:space="preserve">80</t>
    </r>
    <r>
      <rPr>
        <sz val="8.5"/>
        <color rgb="FF000000"/>
        <rFont val="Noto Sans CJK SC"/>
        <family val="2"/>
      </rPr>
      <t xml:space="preserve">分位以上才有</t>
    </r>
    <r>
      <rPr>
        <sz val="8.5"/>
        <color rgb="FF000000"/>
        <rFont val="KaiTi"/>
        <family val="0"/>
        <charset val="1"/>
      </rPr>
      <t xml:space="preserve">alpha</t>
    </r>
  </si>
  <si>
    <t xml:space="preserve">分布数据</t>
  </si>
  <si>
    <t xml:space="preserve">落回中位</t>
  </si>
  <si>
    <r>
      <rPr>
        <sz val="8.5"/>
        <color rgb="FFC00000"/>
        <rFont val="Noto Sans CJK SC"/>
        <family val="2"/>
      </rPr>
      <t xml:space="preserve">与</t>
    </r>
    <r>
      <rPr>
        <sz val="8.5"/>
        <color rgb="FFC00000"/>
        <rFont val="KaiTi"/>
        <family val="0"/>
        <charset val="1"/>
      </rPr>
      <t xml:space="preserve">consensus</t>
    </r>
    <r>
      <rPr>
        <sz val="8.5"/>
        <color rgb="FFC00000"/>
        <rFont val="Noto Sans CJK SC"/>
        <family val="2"/>
      </rPr>
      <t xml:space="preserve">一致仍重仓</t>
    </r>
  </si>
  <si>
    <t xml:space="preserve">上调密度与顶部</t>
  </si>
  <si>
    <t xml:space="preserve">集体上调密集期常与股价顶部同步</t>
  </si>
  <si>
    <r>
      <rPr>
        <sz val="8.5"/>
        <color rgb="FF000000"/>
        <rFont val="Noto Sans CJK SC"/>
        <family val="2"/>
      </rPr>
      <t xml:space="preserve">单月上调家数</t>
    </r>
    <r>
      <rPr>
        <sz val="8.5"/>
        <color rgb="FF000000"/>
        <rFont val="KaiTi"/>
        <family val="0"/>
        <charset val="1"/>
      </rPr>
      <t xml:space="preserve">&gt;</t>
    </r>
    <r>
      <rPr>
        <sz val="8.5"/>
        <color rgb="FF000000"/>
        <rFont val="Noto Sans CJK SC"/>
        <family val="2"/>
      </rPr>
      <t xml:space="preserve">覆盖的</t>
    </r>
    <r>
      <rPr>
        <sz val="8.5"/>
        <color rgb="FF000000"/>
        <rFont val="KaiTi"/>
        <family val="0"/>
        <charset val="1"/>
      </rPr>
      <t xml:space="preserve">50%</t>
    </r>
  </si>
  <si>
    <t xml:space="preserve">评级追踪</t>
  </si>
  <si>
    <t xml:space="preserve">出现即警戒</t>
  </si>
  <si>
    <t xml:space="preserve">把上调当利好</t>
  </si>
  <si>
    <t xml:space="preserve">预期差的方向</t>
  </si>
  <si>
    <r>
      <rPr>
        <sz val="9"/>
        <color rgb="FF0000FF"/>
        <rFont val="Noto Sans CJK SC"/>
        <family val="2"/>
      </rPr>
      <t xml:space="preserve">物理变量位置 </t>
    </r>
    <r>
      <rPr>
        <sz val="9"/>
        <color rgb="FF0000FF"/>
        <rFont val="KaiTi"/>
        <family val="0"/>
        <charset val="1"/>
      </rPr>
      <t xml:space="preserve">vs consensus</t>
    </r>
    <r>
      <rPr>
        <sz val="9"/>
        <color rgb="FF0000FF"/>
        <rFont val="Noto Sans CJK SC"/>
        <family val="2"/>
      </rPr>
      <t xml:space="preserve">位置的四象限</t>
    </r>
  </si>
  <si>
    <t xml:space="preserve">见「四象限」判定</t>
  </si>
  <si>
    <r>
      <rPr>
        <sz val="8.5"/>
        <color rgb="FF7F7F7F"/>
        <rFont val="Noto Sans CJK SC"/>
        <family val="2"/>
      </rPr>
      <t xml:space="preserve">模型</t>
    </r>
    <r>
      <rPr>
        <sz val="8.5"/>
        <color rgb="FF7F7F7F"/>
        <rFont val="KaiTi"/>
        <family val="0"/>
        <charset val="1"/>
      </rPr>
      <t xml:space="preserve">+consensus</t>
    </r>
  </si>
  <si>
    <t xml:space="preserve">象限切换</t>
  </si>
  <si>
    <t xml:space="preserve">只看基本面不看预期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</si>
  <si>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H </t>
    </r>
    <r>
      <rPr>
        <b val="true"/>
        <sz val="10.5"/>
        <color rgb="FF1F3864"/>
        <rFont val="Noto Sans CJK SC"/>
        <family val="2"/>
      </rPr>
      <t xml:space="preserve">物理变量领先性</t>
    </r>
  </si>
  <si>
    <r>
      <rPr>
        <sz val="8.5"/>
        <color rgb="FF7F7F7F"/>
        <rFont val="KaiTi"/>
        <family val="0"/>
        <charset val="1"/>
      </rPr>
      <t xml:space="preserve">H </t>
    </r>
    <r>
      <rPr>
        <sz val="8.5"/>
        <color rgb="FF7F7F7F"/>
        <rFont val="Noto Sans CJK SC"/>
        <family val="2"/>
      </rPr>
      <t xml:space="preserve">物理变量领先性</t>
    </r>
  </si>
  <si>
    <t xml:space="preserve">领先季度数</t>
  </si>
  <si>
    <t xml:space="preserve">该物理变量领先报表几个季度</t>
  </si>
  <si>
    <t xml:space="preserve">历史回归得出的领先期</t>
  </si>
  <si>
    <t xml:space="preserve">历史对照</t>
  </si>
  <si>
    <t xml:space="preserve">领先关系失效</t>
  </si>
  <si>
    <t xml:space="preserve">假设同步</t>
  </si>
  <si>
    <t xml:space="preserve">变量清单</t>
  </si>
  <si>
    <t xml:space="preserve">排产、开工率、库存天数、现货价、招标量、出口数据</t>
  </si>
  <si>
    <r>
      <rPr>
        <sz val="8.5"/>
        <color rgb="FF000000"/>
        <rFont val="Noto Sans CJK SC"/>
        <family val="2"/>
      </rPr>
      <t xml:space="preserve">至少</t>
    </r>
    <r>
      <rPr>
        <sz val="8.5"/>
        <color rgb="FF000000"/>
        <rFont val="KaiTi"/>
        <family val="0"/>
        <charset val="1"/>
      </rPr>
      <t xml:space="preserve">4</t>
    </r>
    <r>
      <rPr>
        <sz val="8.5"/>
        <color rgb="FF000000"/>
        <rFont val="Noto Sans CJK SC"/>
        <family val="2"/>
      </rPr>
      <t xml:space="preserve">个互相独立的变量</t>
    </r>
  </si>
  <si>
    <r>
      <rPr>
        <sz val="8.5"/>
        <color rgb="FF7F7F7F"/>
        <rFont val="Noto Sans CJK SC"/>
        <family val="2"/>
      </rPr>
      <t xml:space="preserve">一手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官方</t>
    </r>
  </si>
  <si>
    <t xml:space="preserve">变量互相矛盾</t>
  </si>
  <si>
    <t xml:space="preserve">只跟踪单一变量</t>
  </si>
  <si>
    <t xml:space="preserve">数据频率与噪声</t>
  </si>
  <si>
    <r>
      <rPr>
        <sz val="9"/>
        <color rgb="FF0000FF"/>
        <rFont val="Noto Sans CJK SC"/>
        <family val="2"/>
      </rPr>
      <t xml:space="preserve">周频数据需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周移动平均才可用</t>
    </r>
  </si>
  <si>
    <t xml:space="preserve">去噪后再判方向</t>
  </si>
  <si>
    <t xml:space="preserve">被单周噪声骗</t>
  </si>
  <si>
    <t xml:space="preserve">对单周数据反应</t>
  </si>
  <si>
    <t xml:space="preserve">交叉验证</t>
  </si>
  <si>
    <r>
      <rPr>
        <sz val="9"/>
        <color rgb="FF0000FF"/>
        <rFont val="Noto Sans CJK SC"/>
        <family val="2"/>
      </rPr>
      <t xml:space="preserve">官方统计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一手渠道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上游出货，三源对照</t>
    </r>
  </si>
  <si>
    <t xml:space="preserve">三源同向才确认</t>
  </si>
  <si>
    <t xml:space="preserve">多源</t>
  </si>
  <si>
    <t xml:space="preserve">三源分歧</t>
  </si>
  <si>
    <t xml:space="preserve">单源信仰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</si>
  <si>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I </t>
    </r>
    <r>
      <rPr>
        <b val="true"/>
        <sz val="10.5"/>
        <color rgb="FF1F3864"/>
        <rFont val="Noto Sans CJK SC"/>
        <family val="2"/>
      </rPr>
      <t xml:space="preserve">二阶导与拐点【中期最核心】</t>
    </r>
  </si>
  <si>
    <r>
      <rPr>
        <sz val="8.5"/>
        <color rgb="FF7F7F7F"/>
        <rFont val="KaiTi"/>
        <family val="0"/>
        <charset val="1"/>
      </rPr>
      <t xml:space="preserve">I </t>
    </r>
    <r>
      <rPr>
        <sz val="8.5"/>
        <color rgb="FF7F7F7F"/>
        <rFont val="Noto Sans CJK SC"/>
        <family val="2"/>
      </rPr>
      <t xml:space="preserve">二阶导与拐点【中期最核心】</t>
    </r>
  </si>
  <si>
    <t xml:space="preserve">二阶导监控</t>
  </si>
  <si>
    <t xml:space="preserve">增速的增速——股价定价的是这个</t>
  </si>
  <si>
    <r>
      <rPr>
        <sz val="8.5"/>
        <color rgb="FF000000"/>
        <rFont val="KaiTi"/>
        <family val="0"/>
        <charset val="1"/>
      </rPr>
      <t xml:space="preserve">YoY</t>
    </r>
    <r>
      <rPr>
        <sz val="8.5"/>
        <color rgb="FF000000"/>
        <rFont val="Noto Sans CJK SC"/>
        <family val="2"/>
      </rPr>
      <t xml:space="preserve">增速的环比变化连续两季</t>
    </r>
  </si>
  <si>
    <t xml:space="preserve">二阶导转负</t>
  </si>
  <si>
    <t xml:space="preserve">只看增速不看增速的变化</t>
  </si>
  <si>
    <t xml:space="preserve">最危险的时点</t>
  </si>
  <si>
    <r>
      <rPr>
        <sz val="9"/>
        <color rgb="FF0000FF"/>
        <rFont val="Noto Sans CJK SC"/>
        <family val="2"/>
      </rPr>
      <t xml:space="preserve">物理变量仍向上、二阶导已转负、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刚上调完</t>
    </r>
  </si>
  <si>
    <t xml:space="preserve">三者同时出现</t>
  </si>
  <si>
    <t xml:space="preserve">综合</t>
  </si>
  <si>
    <t xml:space="preserve">数据最好时加仓</t>
  </si>
  <si>
    <t xml:space="preserve">同比基数效应</t>
  </si>
  <si>
    <t xml:space="preserve">高基数会制造「增速下滑」的假象</t>
  </si>
  <si>
    <t xml:space="preserve">剔除基数后的环比</t>
  </si>
  <si>
    <t xml:space="preserve">误判基数为拐点</t>
  </si>
  <si>
    <t xml:space="preserve">不做基数调整</t>
  </si>
  <si>
    <t xml:space="preserve">拐点的确认规则</t>
  </si>
  <si>
    <t xml:space="preserve">连续两季同向才算拐点，单季不算</t>
  </si>
  <si>
    <r>
      <rPr>
        <sz val="8.5"/>
        <color rgb="FF000000"/>
        <rFont val="KaiTi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季确认</t>
    </r>
  </si>
  <si>
    <t xml:space="preserve">单季反转</t>
  </si>
  <si>
    <t xml:space="preserve">单季数据就翻多翻空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</si>
  <si>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J </t>
    </r>
    <r>
      <rPr>
        <b val="true"/>
        <sz val="10.5"/>
        <color rgb="FF1F3864"/>
        <rFont val="Noto Sans CJK SC"/>
        <family val="2"/>
      </rPr>
      <t xml:space="preserve">反身性回路【中期独有】</t>
    </r>
  </si>
  <si>
    <r>
      <rPr>
        <sz val="8.5"/>
        <color rgb="FF7F7F7F"/>
        <rFont val="KaiTi"/>
        <family val="0"/>
        <charset val="1"/>
      </rPr>
      <t xml:space="preserve">J </t>
    </r>
    <r>
      <rPr>
        <sz val="8.5"/>
        <color rgb="FF7F7F7F"/>
        <rFont val="Noto Sans CJK SC"/>
        <family val="2"/>
      </rPr>
      <t xml:space="preserve">反身性回路【中期独有】</t>
    </r>
  </si>
  <si>
    <t xml:space="preserve">回路识别</t>
  </si>
  <si>
    <t xml:space="preserve">股价涨→融资易→扩产→供给增→价跌</t>
  </si>
  <si>
    <t xml:space="preserve">可指认完整闭环</t>
  </si>
  <si>
    <r>
      <rPr>
        <sz val="8.5"/>
        <color rgb="FF7F7F7F"/>
        <rFont val="Noto Sans CJK SC"/>
        <family val="2"/>
      </rPr>
      <t xml:space="preserve">融资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扩产数据</t>
    </r>
  </si>
  <si>
    <t xml:space="preserve">回路启动</t>
  </si>
  <si>
    <t xml:space="preserve">只做线性外推</t>
  </si>
  <si>
    <t xml:space="preserve">融资窗口状态</t>
  </si>
  <si>
    <r>
      <rPr>
        <sz val="9"/>
        <color rgb="FF0000FF"/>
        <rFont val="Noto Sans CJK SC"/>
        <family val="2"/>
      </rPr>
      <t xml:space="preserve">定增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可转债</t>
    </r>
    <r>
      <rPr>
        <sz val="9"/>
        <color rgb="FF0000FF"/>
        <rFont val="KaiTi"/>
        <family val="0"/>
        <charset val="1"/>
      </rPr>
      <t xml:space="preserve">/IPO </t>
    </r>
    <r>
      <rPr>
        <sz val="9"/>
        <color rgb="FF0000FF"/>
        <rFont val="Noto Sans CJK SC"/>
        <family val="2"/>
      </rPr>
      <t xml:space="preserve">通道是否打开</t>
    </r>
  </si>
  <si>
    <r>
      <rPr>
        <sz val="8.5"/>
        <color rgb="FF000000"/>
        <rFont val="Noto Sans CJK SC"/>
        <family val="2"/>
      </rPr>
      <t xml:space="preserve">近</t>
    </r>
    <r>
      <rPr>
        <sz val="8.5"/>
        <color rgb="FF000000"/>
        <rFont val="KaiTi"/>
        <family val="0"/>
        <charset val="1"/>
      </rPr>
      <t xml:space="preserve">6</t>
    </r>
    <r>
      <rPr>
        <sz val="8.5"/>
        <color rgb="FF000000"/>
        <rFont val="Noto Sans CJK SC"/>
        <family val="2"/>
      </rPr>
      <t xml:space="preserve">月行业融资笔数与金额</t>
    </r>
  </si>
  <si>
    <t xml:space="preserve">融资数据库</t>
  </si>
  <si>
    <r>
      <rPr>
        <sz val="8.5"/>
        <color rgb="FF000000"/>
        <rFont val="Noto Sans CJK SC"/>
        <family val="2"/>
      </rPr>
      <t xml:space="preserve">窗口打开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供给将增</t>
    </r>
  </si>
  <si>
    <t xml:space="preserve">忽略资本市场</t>
  </si>
  <si>
    <t xml:space="preserve">一级市场热度</t>
  </si>
  <si>
    <r>
      <rPr>
        <sz val="9"/>
        <color rgb="FF0000FF"/>
        <rFont val="Noto Sans CJK SC"/>
        <family val="2"/>
      </rPr>
      <t xml:space="preserve">一级融资额领先二级供给约</t>
    </r>
    <r>
      <rPr>
        <sz val="9"/>
        <color rgb="FF0000FF"/>
        <rFont val="KaiTi"/>
        <family val="0"/>
        <charset val="1"/>
      </rPr>
      <t xml:space="preserve">4–6</t>
    </r>
    <r>
      <rPr>
        <sz val="9"/>
        <color rgb="FF0000FF"/>
        <rFont val="Noto Sans CJK SC"/>
        <family val="2"/>
      </rPr>
      <t xml:space="preserve">季</t>
    </r>
  </si>
  <si>
    <t xml:space="preserve">一级融资笔数趋势</t>
  </si>
  <si>
    <t xml:space="preserve">热度骤升</t>
  </si>
  <si>
    <t xml:space="preserve">只看二级</t>
  </si>
  <si>
    <t xml:space="preserve">政策的反身性</t>
  </si>
  <si>
    <r>
      <rPr>
        <sz val="9"/>
        <color rgb="FF0000FF"/>
        <rFont val="Noto Sans CJK SC"/>
        <family val="2"/>
      </rPr>
      <t xml:space="preserve">涨价→政策约谈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保供→价格回落</t>
    </r>
  </si>
  <si>
    <t xml:space="preserve">是否进入政策视野</t>
  </si>
  <si>
    <t xml:space="preserve">政策库</t>
  </si>
  <si>
    <t xml:space="preserve">约谈出现</t>
  </si>
  <si>
    <t xml:space="preserve">忽略政策反应函数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</si>
  <si>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K </t>
    </r>
    <r>
      <rPr>
        <b val="true"/>
        <sz val="10.5"/>
        <color rgb="FF1F3864"/>
        <rFont val="Noto Sans CJK SC"/>
        <family val="2"/>
      </rPr>
      <t xml:space="preserve">库存周期位置</t>
    </r>
  </si>
  <si>
    <r>
      <rPr>
        <sz val="8.5"/>
        <color rgb="FF7F7F7F"/>
        <rFont val="KaiTi"/>
        <family val="0"/>
        <charset val="1"/>
      </rPr>
      <t xml:space="preserve">K </t>
    </r>
    <r>
      <rPr>
        <sz val="8.5"/>
        <color rgb="FF7F7F7F"/>
        <rFont val="Noto Sans CJK SC"/>
        <family val="2"/>
      </rPr>
      <t xml:space="preserve">库存周期位置</t>
    </r>
  </si>
  <si>
    <t xml:space="preserve">四阶段判定</t>
  </si>
  <si>
    <r>
      <rPr>
        <sz val="9"/>
        <color rgb="FF0000FF"/>
        <rFont val="Noto Sans CJK SC"/>
        <family val="2"/>
      </rPr>
      <t xml:space="preserve">主动去库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被动去库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主动补库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被动补库</t>
    </r>
  </si>
  <si>
    <r>
      <rPr>
        <sz val="8.5"/>
        <color rgb="FF000000"/>
        <rFont val="Noto Sans CJK SC"/>
        <family val="2"/>
      </rPr>
      <t xml:space="preserve">收入增速</t>
    </r>
    <r>
      <rPr>
        <sz val="8.5"/>
        <color rgb="FF000000"/>
        <rFont val="KaiTi"/>
        <family val="0"/>
        <charset val="1"/>
      </rPr>
      <t xml:space="preserve">×</t>
    </r>
    <r>
      <rPr>
        <sz val="8.5"/>
        <color rgb="FF000000"/>
        <rFont val="Noto Sans CJK SC"/>
        <family val="2"/>
      </rPr>
      <t xml:space="preserve">库存增速 象限</t>
    </r>
  </si>
  <si>
    <t xml:space="preserve">财报库存</t>
  </si>
  <si>
    <t xml:space="preserve">阶段切换</t>
  </si>
  <si>
    <t xml:space="preserve">只看库存绝对值</t>
  </si>
  <si>
    <r>
      <rPr>
        <b val="true"/>
        <sz val="9"/>
        <color rgb="FF000000"/>
        <rFont val="Noto Sans CJK SC"/>
        <family val="2"/>
      </rPr>
      <t xml:space="preserve">渠道库存 </t>
    </r>
    <r>
      <rPr>
        <b val="true"/>
        <sz val="9"/>
        <color rgb="FF000000"/>
        <rFont val="KaiTi"/>
        <family val="0"/>
        <charset val="1"/>
      </rPr>
      <t xml:space="preserve">vs </t>
    </r>
    <r>
      <rPr>
        <b val="true"/>
        <sz val="9"/>
        <color rgb="FF000000"/>
        <rFont val="Noto Sans CJK SC"/>
        <family val="2"/>
      </rPr>
      <t xml:space="preserve">厂商库存</t>
    </r>
  </si>
  <si>
    <t xml:space="preserve">渠道库存不在财报里，须靠一手</t>
  </si>
  <si>
    <t xml:space="preserve">渠道库存周数</t>
  </si>
  <si>
    <t xml:space="preserve">渠道悄悄累库</t>
  </si>
  <si>
    <t xml:space="preserve">只看财报库存</t>
  </si>
  <si>
    <t xml:space="preserve">库存天数的正常区间</t>
  </si>
  <si>
    <t xml:space="preserve">相对历史中枢的偏离度</t>
  </si>
  <si>
    <r>
      <rPr>
        <sz val="8.5"/>
        <color rgb="FF000000"/>
        <rFont val="Noto Sans CJK SC"/>
        <family val="2"/>
      </rPr>
      <t xml:space="preserve">偏离</t>
    </r>
    <r>
      <rPr>
        <sz val="8.5"/>
        <color rgb="FF000000"/>
        <rFont val="KaiTi"/>
        <family val="0"/>
        <charset val="1"/>
      </rPr>
      <t xml:space="preserve">&gt;1</t>
    </r>
    <r>
      <rPr>
        <sz val="8.5"/>
        <color rgb="FF000000"/>
        <rFont val="Noto Sans CJK SC"/>
        <family val="2"/>
      </rPr>
      <t xml:space="preserve">个标准差</t>
    </r>
  </si>
  <si>
    <t xml:space="preserve">历史序列</t>
  </si>
  <si>
    <t xml:space="preserve">偏离持续扩大</t>
  </si>
  <si>
    <t xml:space="preserve">无历史基准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</si>
  <si>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L </t>
    </r>
    <r>
      <rPr>
        <b val="true"/>
        <sz val="10.5"/>
        <color rgb="FF1F3864"/>
        <rFont val="Noto Sans CJK SC"/>
        <family val="2"/>
      </rPr>
      <t xml:space="preserve">隐含斜率反推</t>
    </r>
  </si>
  <si>
    <r>
      <rPr>
        <sz val="8.5"/>
        <color rgb="FF7F7F7F"/>
        <rFont val="KaiTi"/>
        <family val="0"/>
        <charset val="1"/>
      </rPr>
      <t xml:space="preserve">L </t>
    </r>
    <r>
      <rPr>
        <sz val="8.5"/>
        <color rgb="FF7F7F7F"/>
        <rFont val="Noto Sans CJK SC"/>
        <family val="2"/>
      </rPr>
      <t xml:space="preserve">隐含斜率反推</t>
    </r>
  </si>
  <si>
    <t xml:space="preserve">当前价格隐含哪一年</t>
  </si>
  <si>
    <r>
      <rPr>
        <sz val="9"/>
        <color rgb="FF0000FF"/>
        <rFont val="Noto Sans CJK SC"/>
        <family val="2"/>
      </rPr>
      <t xml:space="preserve">市值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隐含利润→对应哪一年的业绩</t>
    </r>
  </si>
  <si>
    <r>
      <rPr>
        <sz val="8.5"/>
        <color rgb="FF000000"/>
        <rFont val="Noto Sans CJK SC"/>
        <family val="2"/>
      </rPr>
      <t xml:space="preserve">隐含年份</t>
    </r>
    <r>
      <rPr>
        <sz val="8.5"/>
        <color rgb="FF000000"/>
        <rFont val="KaiTi"/>
        <family val="0"/>
        <charset val="1"/>
      </rPr>
      <t xml:space="preserve">&gt;3</t>
    </r>
    <r>
      <rPr>
        <sz val="8.5"/>
        <color rgb="FF000000"/>
        <rFont val="Noto Sans CJK SC"/>
        <family val="2"/>
      </rPr>
      <t xml:space="preserve">年即中期已透支</t>
    </r>
  </si>
  <si>
    <r>
      <rPr>
        <sz val="8.5"/>
        <color rgb="FF7F7F7F"/>
        <rFont val="KaiTi"/>
        <family val="0"/>
        <charset val="1"/>
      </rPr>
      <t xml:space="preserve">iFind+</t>
    </r>
    <r>
      <rPr>
        <sz val="8.5"/>
        <color rgb="FF7F7F7F"/>
        <rFont val="Noto Sans CJK SC"/>
        <family val="2"/>
      </rPr>
      <t xml:space="preserve">模型</t>
    </r>
  </si>
  <si>
    <t xml:space="preserve">年份被推远</t>
  </si>
  <si>
    <t xml:space="preserve">隐含季度斜率</t>
  </si>
  <si>
    <t xml:space="preserve">要涨到目标价，需要连续几季多少增速</t>
  </si>
  <si>
    <r>
      <rPr>
        <sz val="8.5"/>
        <color rgb="FF000000"/>
        <rFont val="Noto Sans CJK SC"/>
        <family val="2"/>
      </rPr>
      <t xml:space="preserve">隐含</t>
    </r>
    <r>
      <rPr>
        <sz val="8.5"/>
        <color rgb="FF000000"/>
        <rFont val="KaiTi"/>
        <family val="0"/>
        <charset val="1"/>
      </rPr>
      <t xml:space="preserve">QoQ vs </t>
    </r>
    <r>
      <rPr>
        <sz val="8.5"/>
        <color rgb="FF000000"/>
        <rFont val="Noto Sans CJK SC"/>
        <family val="2"/>
      </rPr>
      <t xml:space="preserve">可实现</t>
    </r>
    <r>
      <rPr>
        <sz val="8.5"/>
        <color rgb="FF000000"/>
        <rFont val="KaiTi"/>
        <family val="0"/>
        <charset val="1"/>
      </rPr>
      <t xml:space="preserve">QoQ</t>
    </r>
  </si>
  <si>
    <t xml:space="preserve">隐含斜率不可实现</t>
  </si>
  <si>
    <t xml:space="preserve">只算年度不算季度</t>
  </si>
  <si>
    <t xml:space="preserve">最脆弱的假设</t>
  </si>
  <si>
    <t xml:space="preserve">哪条假设敏感度最高、最先被物理变量证伪</t>
  </si>
  <si>
    <t xml:space="preserve">敏感性排序取前两条</t>
  </si>
  <si>
    <t xml:space="preserve">敏感性分析</t>
  </si>
  <si>
    <t xml:space="preserve">该假设被证伪</t>
  </si>
  <si>
    <t xml:space="preserve">不做敏感性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</si>
  <si>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M </t>
    </r>
    <r>
      <rPr>
        <b val="true"/>
        <sz val="10.5"/>
        <color rgb="FF1F3864"/>
        <rFont val="Noto Sans CJK SC"/>
        <family val="2"/>
      </rPr>
      <t xml:space="preserve">证伪与纪律</t>
    </r>
  </si>
  <si>
    <r>
      <rPr>
        <sz val="8.5"/>
        <color rgb="FF7F7F7F"/>
        <rFont val="KaiTi"/>
        <family val="0"/>
        <charset val="1"/>
      </rPr>
      <t xml:space="preserve">M </t>
    </r>
    <r>
      <rPr>
        <sz val="8.5"/>
        <color rgb="FF7F7F7F"/>
        <rFont val="Noto Sans CJK SC"/>
        <family val="2"/>
      </rPr>
      <t xml:space="preserve">证伪与纪律</t>
    </r>
  </si>
  <si>
    <r>
      <rPr>
        <b val="true"/>
        <sz val="9"/>
        <color rgb="FF000000"/>
        <rFont val="Noto Sans CJK SC"/>
        <family val="2"/>
      </rPr>
      <t xml:space="preserve">连续</t>
    </r>
    <r>
      <rPr>
        <b val="true"/>
        <sz val="9"/>
        <color rgb="FF000000"/>
        <rFont val="KaiT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季背离即证伪</t>
    </r>
  </si>
  <si>
    <t xml:space="preserve">可跟踪物理变量与判断连续两季背离</t>
  </si>
  <si>
    <r>
      <rPr>
        <sz val="8.5"/>
        <color rgb="FF000000"/>
        <rFont val="KaiTi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季规则，写死</t>
    </r>
  </si>
  <si>
    <t xml:space="preserve">跟踪表</t>
  </si>
  <si>
    <t xml:space="preserve">触发即离场</t>
  </si>
  <si>
    <t xml:space="preserve">第三季再看看</t>
  </si>
  <si>
    <t xml:space="preserve">跟踪变量预注册</t>
  </si>
  <si>
    <r>
      <rPr>
        <sz val="9"/>
        <color rgb="FF0000FF"/>
        <rFont val="Noto Sans CJK SC"/>
        <family val="2"/>
      </rPr>
      <t xml:space="preserve">建仓时锁定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个跟踪变量，事后不得更换</t>
    </r>
  </si>
  <si>
    <t xml:space="preserve">变量清单写死</t>
  </si>
  <si>
    <t xml:space="preserve">中途换变量</t>
  </si>
  <si>
    <t xml:space="preserve">换一个能证明自己对的变量</t>
  </si>
  <si>
    <t xml:space="preserve">财报季强制复检</t>
  </si>
  <si>
    <t xml:space="preserve">每季财报后重跑模型并更新斜率</t>
  </si>
  <si>
    <t xml:space="preserve">逐季留痕</t>
  </si>
  <si>
    <t xml:space="preserve">模型版本</t>
  </si>
  <si>
    <t xml:space="preserve">漏跑</t>
  </si>
  <si>
    <t xml:space="preserve">只在出事时才看</t>
  </si>
  <si>
    <r>
      <rPr>
        <b val="true"/>
        <sz val="10.5"/>
        <color rgb="FF1F3864"/>
        <rFont val="Noto Sans CJK SC"/>
        <family val="2"/>
      </rPr>
      <t xml:space="preserve">中期（</t>
    </r>
    <r>
      <rPr>
        <b val="true"/>
        <sz val="10.5"/>
        <color rgb="FF1F3864"/>
        <rFont val="KaiTi"/>
        <family val="0"/>
        <charset val="1"/>
      </rPr>
      <t xml:space="preserve">3–6Q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N </t>
    </r>
    <r>
      <rPr>
        <b val="true"/>
        <sz val="10.5"/>
        <color rgb="FF1F3864"/>
        <rFont val="Noto Sans CJK SC"/>
        <family val="2"/>
      </rPr>
      <t xml:space="preserve">常见死法</t>
    </r>
  </si>
  <si>
    <r>
      <rPr>
        <sz val="8.5"/>
        <color rgb="FF7F7F7F"/>
        <rFont val="KaiTi"/>
        <family val="0"/>
        <charset val="1"/>
      </rPr>
      <t xml:space="preserve">N </t>
    </r>
    <r>
      <rPr>
        <sz val="8.5"/>
        <color rgb="FF7F7F7F"/>
        <rFont val="Noto Sans CJK SC"/>
        <family val="2"/>
      </rPr>
      <t xml:space="preserve">常见死法</t>
    </r>
  </si>
  <si>
    <r>
      <rPr>
        <sz val="9"/>
        <color rgb="FF0000FF"/>
        <rFont val="Noto Sans CJK SC"/>
        <family val="2"/>
      </rPr>
      <t xml:space="preserve">物理变量仍向上、二阶导已转负，而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刚上调完</t>
    </r>
  </si>
  <si>
    <t xml:space="preserve">把订单、收入、利润三条时间序列当成一条</t>
  </si>
  <si>
    <t xml:space="preserve">忽略反身性：自己的看多逻辑正在催生供给</t>
  </si>
  <si>
    <t xml:space="preserve">涨价可持续季度数按格局判错（拿完全竞争当寡头）</t>
  </si>
  <si>
    <r>
      <rPr>
        <sz val="9"/>
        <color rgb="FF0000FF"/>
        <rFont val="Noto Sans CJK SC"/>
        <family val="2"/>
      </rPr>
      <t xml:space="preserve">与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完全一致却重仓，赚不到预期差只承担</t>
    </r>
    <r>
      <rPr>
        <sz val="9"/>
        <color rgb="FF0000FF"/>
        <rFont val="KaiTi"/>
        <family val="0"/>
        <charset val="1"/>
      </rPr>
      <t xml:space="preserve">beta</t>
    </r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</si>
  <si>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A </t>
    </r>
    <r>
      <rPr>
        <b val="true"/>
        <sz val="10.5"/>
        <color rgb="FF1F3864"/>
        <rFont val="Noto Sans CJK SC"/>
        <family val="2"/>
      </rPr>
      <t xml:space="preserve">问题定义</t>
    </r>
  </si>
  <si>
    <r>
      <rPr>
        <b val="true"/>
        <sz val="8.5"/>
        <color rgb="FF000000"/>
        <rFont val="Noto Sans CJK SC"/>
        <family val="2"/>
      </rPr>
      <t xml:space="preserve">短期（≤</t>
    </r>
    <r>
      <rPr>
        <b val="true"/>
        <sz val="8.5"/>
        <color rgb="FF000000"/>
        <rFont val="KaiTi"/>
        <family val="0"/>
        <charset val="1"/>
      </rPr>
      <t xml:space="preserve">1Q</t>
    </r>
    <r>
      <rPr>
        <b val="true"/>
        <sz val="8.5"/>
        <color rgb="FF000000"/>
        <rFont val="Noto Sans CJK SC"/>
        <family val="2"/>
      </rPr>
      <t xml:space="preserve">）</t>
    </r>
  </si>
  <si>
    <t xml:space="preserve">边际筹码的供需——谁还没买、谁还没卖</t>
  </si>
  <si>
    <t xml:space="preserve">能说出边际买家是谁</t>
  </si>
  <si>
    <r>
      <rPr>
        <sz val="8.5"/>
        <color rgb="FF7F7F7F"/>
        <rFont val="Noto Sans CJK SC"/>
        <family val="2"/>
      </rPr>
      <t xml:space="preserve">持仓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成交</t>
    </r>
  </si>
  <si>
    <t xml:space="preserve">说不出边际买家</t>
  </si>
  <si>
    <t xml:space="preserve">以为短期定价基本面</t>
  </si>
  <si>
    <t xml:space="preserve">定价函数</t>
  </si>
  <si>
    <r>
      <rPr>
        <sz val="9"/>
        <color rgb="FF0000FF"/>
        <rFont val="KaiTi"/>
        <family val="0"/>
        <charset val="1"/>
      </rPr>
      <t xml:space="preserve">Δ</t>
    </r>
    <r>
      <rPr>
        <sz val="9"/>
        <color rgb="FF0000FF"/>
        <rFont val="Noto Sans CJK SC"/>
        <family val="2"/>
      </rPr>
      <t xml:space="preserve">价格 </t>
    </r>
    <r>
      <rPr>
        <sz val="9"/>
        <color rgb="FF0000FF"/>
        <rFont val="KaiTi"/>
        <family val="0"/>
        <charset val="1"/>
      </rPr>
      <t xml:space="preserve">= f(</t>
    </r>
    <r>
      <rPr>
        <sz val="9"/>
        <color rgb="FF0000FF"/>
        <rFont val="Noto Sans CJK SC"/>
        <family val="2"/>
      </rPr>
      <t xml:space="preserve">事件相对隐含预期的偏离</t>
    </r>
    <r>
      <rPr>
        <sz val="9"/>
        <color rgb="FF0000FF"/>
        <rFont val="KaiTi"/>
        <family val="0"/>
        <charset val="1"/>
      </rPr>
      <t xml:space="preserve">, </t>
    </r>
    <r>
      <rPr>
        <sz val="9"/>
        <color rgb="FF0000FF"/>
        <rFont val="Noto Sans CJK SC"/>
        <family val="2"/>
      </rPr>
      <t xml:space="preserve">边际买家剩余弹药</t>
    </r>
    <r>
      <rPr>
        <sz val="9"/>
        <color rgb="FF0000FF"/>
        <rFont val="KaiTi"/>
        <family val="0"/>
        <charset val="1"/>
      </rPr>
      <t xml:space="preserve">, </t>
    </r>
    <r>
      <rPr>
        <sz val="9"/>
        <color rgb="FF0000FF"/>
        <rFont val="Noto Sans CJK SC"/>
        <family val="2"/>
      </rPr>
      <t xml:space="preserve">现有持仓痛苦度</t>
    </r>
    <r>
      <rPr>
        <sz val="9"/>
        <color rgb="FF0000FF"/>
        <rFont val="KaiTi"/>
        <family val="0"/>
        <charset val="1"/>
      </rPr>
      <t xml:space="preserve">)</t>
    </r>
  </si>
  <si>
    <t xml:space="preserve">三项须同时评估</t>
  </si>
  <si>
    <t xml:space="preserve">只评估第一项</t>
  </si>
  <si>
    <t xml:space="preserve">只研究消息好坏</t>
  </si>
  <si>
    <t xml:space="preserve">单点要准：哪天、哪个数、哪个价位</t>
  </si>
  <si>
    <t xml:space="preserve">日期精确到日，数字精确到个位</t>
  </si>
  <si>
    <r>
      <rPr>
        <sz val="8.5"/>
        <color rgb="FF7F7F7F"/>
        <rFont val="Noto Sans CJK SC"/>
        <family val="2"/>
      </rPr>
      <t xml:space="preserve">日历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模型</t>
    </r>
  </si>
  <si>
    <t xml:space="preserve">日期含糊</t>
  </si>
  <si>
    <t xml:space="preserve">用季度精度做事件交易</t>
  </si>
  <si>
    <r>
      <rPr>
        <sz val="9"/>
        <color rgb="FF0000FF"/>
        <rFont val="KaiTi"/>
        <family val="0"/>
        <charset val="1"/>
      </rPr>
      <t xml:space="preserve">10 : 40 : 50 —— </t>
    </r>
    <r>
      <rPr>
        <sz val="9"/>
        <color rgb="FF0000FF"/>
        <rFont val="Noto Sans CJK SC"/>
        <family val="2"/>
      </rPr>
      <t xml:space="preserve">传导层压倒一切</t>
    </r>
  </si>
  <si>
    <r>
      <rPr>
        <sz val="8.5"/>
        <color rgb="FF000000"/>
        <rFont val="KaiTi"/>
        <family val="0"/>
        <charset val="1"/>
      </rPr>
      <t xml:space="preserve">R</t>
    </r>
    <r>
      <rPr>
        <sz val="8.5"/>
        <color rgb="FF000000"/>
        <rFont val="Noto Sans CJK SC"/>
        <family val="2"/>
      </rPr>
      <t xml:space="preserve">层不超过</t>
    </r>
    <r>
      <rPr>
        <sz val="8.5"/>
        <color rgb="FF000000"/>
        <rFont val="KaiTi"/>
        <family val="0"/>
        <charset val="1"/>
      </rPr>
      <t xml:space="preserve">15%</t>
    </r>
  </si>
  <si>
    <t xml:space="preserve">事件前还在读研报</t>
  </si>
  <si>
    <t xml:space="preserve">数天–数周；事件落地即归零</t>
  </si>
  <si>
    <r>
      <rPr>
        <sz val="8.5"/>
        <color rgb="FF000000"/>
        <rFont val="Noto Sans CJK SC"/>
        <family val="2"/>
      </rPr>
      <t xml:space="preserve">事件后</t>
    </r>
    <r>
      <rPr>
        <sz val="8.5"/>
        <color rgb="FF000000"/>
        <rFont val="KaiTi"/>
        <family val="0"/>
        <charset val="1"/>
      </rPr>
      <t xml:space="preserve">48</t>
    </r>
    <r>
      <rPr>
        <sz val="8.5"/>
        <color rgb="FF000000"/>
        <rFont val="Noto Sans CJK SC"/>
        <family val="2"/>
      </rPr>
      <t xml:space="preserve">小时结论作废</t>
    </r>
  </si>
  <si>
    <t xml:space="preserve">把事件结论留存过久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</si>
  <si>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B </t>
    </r>
    <r>
      <rPr>
        <b val="true"/>
        <sz val="10.5"/>
        <color rgb="FF1F3864"/>
        <rFont val="Noto Sans CJK SC"/>
        <family val="2"/>
      </rPr>
      <t xml:space="preserve">隐含预期的三个口径</t>
    </r>
  </si>
  <si>
    <r>
      <rPr>
        <sz val="8.5"/>
        <color rgb="FF7F7F7F"/>
        <rFont val="KaiTi"/>
        <family val="0"/>
        <charset val="1"/>
      </rPr>
      <t xml:space="preserve">B </t>
    </r>
    <r>
      <rPr>
        <sz val="8.5"/>
        <color rgb="FF7F7F7F"/>
        <rFont val="Noto Sans CJK SC"/>
        <family val="2"/>
      </rPr>
      <t xml:space="preserve">隐含预期的三个口径</t>
    </r>
  </si>
  <si>
    <t xml:space="preserve">sell-side consensus</t>
  </si>
  <si>
    <t xml:space="preserve">公开一致预期，是最低标准不是真标准</t>
  </si>
  <si>
    <t xml:space="preserve">覆盖家数与离散度</t>
  </si>
  <si>
    <t xml:space="preserve">离散度骤升</t>
  </si>
  <si>
    <r>
      <rPr>
        <sz val="8.5"/>
        <color rgb="FFC00000"/>
        <rFont val="Noto Sans CJK SC"/>
        <family val="2"/>
      </rPr>
      <t xml:space="preserve">把</t>
    </r>
    <r>
      <rPr>
        <sz val="8.5"/>
        <color rgb="FFC00000"/>
        <rFont val="KaiTi"/>
        <family val="0"/>
        <charset val="1"/>
      </rPr>
      <t xml:space="preserve">consensus</t>
    </r>
    <r>
      <rPr>
        <sz val="8.5"/>
        <color rgb="FFC00000"/>
        <rFont val="Noto Sans CJK SC"/>
        <family val="2"/>
      </rPr>
      <t xml:space="preserve">当市场预期</t>
    </r>
  </si>
  <si>
    <t xml:space="preserve">buy-side whisper</t>
  </si>
  <si>
    <r>
      <rPr>
        <sz val="9"/>
        <color rgb="FF0000FF"/>
        <rFont val="Noto Sans CJK SC"/>
        <family val="2"/>
      </rPr>
      <t xml:space="preserve">买方真实预期，通常高于</t>
    </r>
    <r>
      <rPr>
        <sz val="9"/>
        <color rgb="FF0000FF"/>
        <rFont val="KaiTi"/>
        <family val="0"/>
        <charset val="1"/>
      </rPr>
      <t xml:space="preserve">consensus</t>
    </r>
  </si>
  <si>
    <r>
      <rPr>
        <sz val="8.5"/>
        <color rgb="FF000000"/>
        <rFont val="Noto Sans CJK SC"/>
        <family val="2"/>
      </rPr>
      <t xml:space="preserve">渠道打听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隐含反推</t>
    </r>
  </si>
  <si>
    <r>
      <rPr>
        <sz val="8.5"/>
        <color rgb="FF7F7F7F"/>
        <rFont val="Noto Sans CJK SC"/>
        <family val="2"/>
      </rPr>
      <t xml:space="preserve">一手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经纪商</t>
    </r>
  </si>
  <si>
    <r>
      <rPr>
        <sz val="8.5"/>
        <color rgb="FF000000"/>
        <rFont val="KaiTi"/>
        <family val="0"/>
        <charset val="1"/>
      </rPr>
      <t xml:space="preserve">whisper</t>
    </r>
    <r>
      <rPr>
        <sz val="8.5"/>
        <color rgb="FF000000"/>
        <rFont val="Noto Sans CJK SC"/>
        <family val="2"/>
      </rPr>
      <t xml:space="preserve">与</t>
    </r>
    <r>
      <rPr>
        <sz val="8.5"/>
        <color rgb="FF000000"/>
        <rFont val="KaiTi"/>
        <family val="0"/>
        <charset val="1"/>
      </rPr>
      <t xml:space="preserve">consensus</t>
    </r>
    <r>
      <rPr>
        <sz val="8.5"/>
        <color rgb="FF000000"/>
        <rFont val="Noto Sans CJK SC"/>
        <family val="2"/>
      </rPr>
      <t xml:space="preserve">差</t>
    </r>
    <r>
      <rPr>
        <sz val="8.5"/>
        <color rgb="FF000000"/>
        <rFont val="KaiTi"/>
        <family val="0"/>
        <charset val="1"/>
      </rPr>
      <t xml:space="preserve">&gt;10%</t>
    </r>
  </si>
  <si>
    <r>
      <rPr>
        <sz val="8.5"/>
        <color rgb="FFC00000"/>
        <rFont val="Noto Sans CJK SC"/>
        <family val="2"/>
      </rPr>
      <t xml:space="preserve">忽略</t>
    </r>
    <r>
      <rPr>
        <sz val="8.5"/>
        <color rgb="FFC00000"/>
        <rFont val="KaiTi"/>
        <family val="0"/>
        <charset val="1"/>
      </rPr>
      <t xml:space="preserve">whisper</t>
    </r>
    <r>
      <rPr>
        <sz val="8.5"/>
        <color rgb="FFC00000"/>
        <rFont val="Noto Sans CJK SC"/>
        <family val="2"/>
      </rPr>
      <t xml:space="preserve">差</t>
    </r>
  </si>
  <si>
    <t xml:space="preserve">期权隐含</t>
  </si>
  <si>
    <t xml:space="preserve">隐含波动率给出的预期波动幅度</t>
  </si>
  <si>
    <r>
      <rPr>
        <sz val="8.5"/>
        <color rgb="FF000000"/>
        <rFont val="Noto Sans CJK SC"/>
        <family val="2"/>
      </rPr>
      <t xml:space="preserve">事件日</t>
    </r>
    <r>
      <rPr>
        <sz val="8.5"/>
        <color rgb="FF000000"/>
        <rFont val="KaiTi"/>
        <family val="0"/>
        <charset val="1"/>
      </rPr>
      <t xml:space="preserve">IV vs </t>
    </r>
    <r>
      <rPr>
        <sz val="8.5"/>
        <color rgb="FF000000"/>
        <rFont val="Noto Sans CJK SC"/>
        <family val="2"/>
      </rPr>
      <t xml:space="preserve">历史实际波动</t>
    </r>
  </si>
  <si>
    <t xml:space="preserve">期权链</t>
  </si>
  <si>
    <r>
      <rPr>
        <sz val="8.5"/>
        <color rgb="FF000000"/>
        <rFont val="KaiTi"/>
        <family val="0"/>
        <charset val="1"/>
      </rPr>
      <t xml:space="preserve">IV</t>
    </r>
    <r>
      <rPr>
        <sz val="8.5"/>
        <color rgb="FF000000"/>
        <rFont val="Noto Sans CJK SC"/>
        <family val="2"/>
      </rPr>
      <t xml:space="preserve">已充分定价</t>
    </r>
  </si>
  <si>
    <t xml:space="preserve">不看期权</t>
  </si>
  <si>
    <t xml:space="preserve">三口径的排序</t>
  </si>
  <si>
    <t xml:space="preserve">实际值须超过三者中最高的那个才涨</t>
  </si>
  <si>
    <r>
      <rPr>
        <sz val="8.5"/>
        <color rgb="FF000000"/>
        <rFont val="Noto Sans CJK SC"/>
        <family val="2"/>
      </rPr>
      <t xml:space="preserve">取</t>
    </r>
    <r>
      <rPr>
        <sz val="8.5"/>
        <color rgb="FF000000"/>
        <rFont val="KaiTi"/>
        <family val="0"/>
        <charset val="1"/>
      </rPr>
      <t xml:space="preserve">max</t>
    </r>
    <r>
      <rPr>
        <sz val="8.5"/>
        <color rgb="FF000000"/>
        <rFont val="Noto Sans CJK SC"/>
        <family val="2"/>
      </rPr>
      <t xml:space="preserve">作为过关线</t>
    </r>
  </si>
  <si>
    <r>
      <rPr>
        <sz val="8.5"/>
        <color rgb="FF000000"/>
        <rFont val="Noto Sans CJK SC"/>
        <family val="2"/>
      </rPr>
      <t xml:space="preserve">只对标</t>
    </r>
    <r>
      <rPr>
        <sz val="8.5"/>
        <color rgb="FF000000"/>
        <rFont val="KaiTi"/>
        <family val="0"/>
        <charset val="1"/>
      </rPr>
      <t xml:space="preserve">consensus</t>
    </r>
  </si>
  <si>
    <r>
      <rPr>
        <sz val="8.5"/>
        <color rgb="FFC00000"/>
        <rFont val="Noto Sans CJK SC"/>
        <family val="2"/>
      </rPr>
      <t xml:space="preserve">超</t>
    </r>
    <r>
      <rPr>
        <sz val="8.5"/>
        <color rgb="FFC00000"/>
        <rFont val="KaiTi"/>
        <family val="0"/>
        <charset val="1"/>
      </rPr>
      <t xml:space="preserve">consensus</t>
    </r>
    <r>
      <rPr>
        <sz val="8.5"/>
        <color rgb="FFC00000"/>
        <rFont val="Noto Sans CJK SC"/>
        <family val="2"/>
      </rPr>
      <t xml:space="preserve">却跌</t>
    </r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</si>
  <si>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C </t>
    </r>
    <r>
      <rPr>
        <b val="true"/>
        <sz val="10.5"/>
        <color rgb="FF1F3864"/>
        <rFont val="Noto Sans CJK SC"/>
        <family val="2"/>
      </rPr>
      <t xml:space="preserve">事件偏离度</t>
    </r>
  </si>
  <si>
    <r>
      <rPr>
        <sz val="8.5"/>
        <color rgb="FF7F7F7F"/>
        <rFont val="KaiTi"/>
        <family val="0"/>
        <charset val="1"/>
      </rPr>
      <t xml:space="preserve">C </t>
    </r>
    <r>
      <rPr>
        <sz val="8.5"/>
        <color rgb="FF7F7F7F"/>
        <rFont val="Noto Sans CJK SC"/>
        <family val="2"/>
      </rPr>
      <t xml:space="preserve">事件偏离度</t>
    </r>
  </si>
  <si>
    <t xml:space="preserve">偏离幅度</t>
  </si>
  <si>
    <t xml:space="preserve">实际相对隐含预期偏离多少个百分点</t>
  </si>
  <si>
    <r>
      <rPr>
        <sz val="8.5"/>
        <color rgb="FF000000"/>
        <rFont val="Noto Sans CJK SC"/>
        <family val="2"/>
      </rPr>
      <t xml:space="preserve">超</t>
    </r>
    <r>
      <rPr>
        <sz val="8.5"/>
        <color rgb="FF000000"/>
        <rFont val="KaiTi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以上才有方向性</t>
    </r>
  </si>
  <si>
    <t xml:space="preserve">偏离在噪声内</t>
  </si>
  <si>
    <t xml:space="preserve">小幅超预期就重仓</t>
  </si>
  <si>
    <t xml:space="preserve">哪几个数字被定价</t>
  </si>
  <si>
    <r>
      <rPr>
        <sz val="9"/>
        <color rgb="FF0000FF"/>
        <rFont val="Noto Sans CJK SC"/>
        <family val="2"/>
      </rPr>
      <t xml:space="preserve">市场只盯</t>
    </r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个数（收入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毛利率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指引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单一分部）</t>
    </r>
  </si>
  <si>
    <t xml:space="preserve">事前锁定被定价的数</t>
  </si>
  <si>
    <t xml:space="preserve">历史反应</t>
  </si>
  <si>
    <t xml:space="preserve">盯错数</t>
  </si>
  <si>
    <t xml:space="preserve">全面分析财报</t>
  </si>
  <si>
    <t xml:space="preserve">指引的权重</t>
  </si>
  <si>
    <t xml:space="preserve">指引通常比当期数字权重更高</t>
  </si>
  <si>
    <t xml:space="preserve">指引偏离的价格弹性</t>
  </si>
  <si>
    <t xml:space="preserve">历史事件</t>
  </si>
  <si>
    <t xml:space="preserve">只看当期数</t>
  </si>
  <si>
    <t xml:space="preserve">忽略指引</t>
  </si>
  <si>
    <t xml:space="preserve">事件的可证伪性</t>
  </si>
  <si>
    <r>
      <rPr>
        <sz val="9"/>
        <color rgb="FF0000FF"/>
        <rFont val="Noto Sans CJK SC"/>
        <family val="2"/>
      </rPr>
      <t xml:space="preserve">事件没发生，或发生了但价格反向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立即证伪</t>
    </r>
  </si>
  <si>
    <t xml:space="preserve">当日收盘确认</t>
  </si>
  <si>
    <t xml:space="preserve">价格</t>
  </si>
  <si>
    <t xml:space="preserve">反向即错</t>
  </si>
  <si>
    <t xml:space="preserve">事后找理由解释反向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</si>
  <si>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D </t>
    </r>
    <r>
      <rPr>
        <b val="true"/>
        <sz val="10.5"/>
        <color rgb="FF1F3864"/>
        <rFont val="Noto Sans CJK SC"/>
        <family val="2"/>
      </rPr>
      <t xml:space="preserve">筹码与仓位结构【短期第一】</t>
    </r>
  </si>
  <si>
    <r>
      <rPr>
        <sz val="8.5"/>
        <color rgb="FF7F7F7F"/>
        <rFont val="KaiTi"/>
        <family val="0"/>
        <charset val="1"/>
      </rPr>
      <t xml:space="preserve">D </t>
    </r>
    <r>
      <rPr>
        <sz val="8.5"/>
        <color rgb="FF7F7F7F"/>
        <rFont val="Noto Sans CJK SC"/>
        <family val="2"/>
      </rPr>
      <t xml:space="preserve">筹码与仓位结构【短期第一】</t>
    </r>
  </si>
  <si>
    <t xml:space="preserve">持仓集中度</t>
  </si>
  <si>
    <t xml:space="preserve">前十大流通股东占比及其变化</t>
  </si>
  <si>
    <r>
      <rPr>
        <sz val="8.5"/>
        <color rgb="FF000000"/>
        <rFont val="Noto Sans CJK SC"/>
        <family val="2"/>
      </rPr>
      <t xml:space="preserve">环比变化</t>
    </r>
    <r>
      <rPr>
        <sz val="8.5"/>
        <color rgb="FF000000"/>
        <rFont val="KaiTi"/>
        <family val="0"/>
        <charset val="1"/>
      </rPr>
      <t xml:space="preserve">&gt;3pct</t>
    </r>
    <r>
      <rPr>
        <sz val="8.5"/>
        <color rgb="FF000000"/>
        <rFont val="Noto Sans CJK SC"/>
        <family val="2"/>
      </rPr>
      <t xml:space="preserve">为显著</t>
    </r>
  </si>
  <si>
    <t xml:space="preserve">定期报告</t>
  </si>
  <si>
    <t xml:space="preserve">集中度骤降</t>
  </si>
  <si>
    <t xml:space="preserve">只看静态占比</t>
  </si>
  <si>
    <t xml:space="preserve">筹码龄结构</t>
  </si>
  <si>
    <r>
      <rPr>
        <sz val="9"/>
        <color rgb="FF0000FF"/>
        <rFont val="Noto Sans CJK SC"/>
        <family val="2"/>
      </rPr>
      <t xml:space="preserve">长钱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中短钱的分档均龄与占比</t>
    </r>
  </si>
  <si>
    <r>
      <rPr>
        <sz val="8.5"/>
        <color rgb="FF000000"/>
        <rFont val="Noto Sans CJK SC"/>
        <family val="2"/>
      </rPr>
      <t xml:space="preserve">中短钱占比</t>
    </r>
    <r>
      <rPr>
        <sz val="8.5"/>
        <color rgb="FF000000"/>
        <rFont val="KaiTi"/>
        <family val="0"/>
        <charset val="1"/>
      </rPr>
      <t xml:space="preserve">&gt;50%=</t>
    </r>
    <r>
      <rPr>
        <sz val="8.5"/>
        <color rgb="FF000000"/>
        <rFont val="Noto Sans CJK SC"/>
        <family val="2"/>
      </rPr>
      <t xml:space="preserve">脆弱</t>
    </r>
  </si>
  <si>
    <r>
      <rPr>
        <sz val="8.5"/>
        <color rgb="FF7F7F7F"/>
        <rFont val="KaiTi"/>
        <family val="0"/>
        <charset val="1"/>
      </rPr>
      <t xml:space="preserve">iFind</t>
    </r>
    <r>
      <rPr>
        <sz val="8.5"/>
        <color rgb="FF7F7F7F"/>
        <rFont val="Noto Sans CJK SC"/>
        <family val="2"/>
      </rPr>
      <t xml:space="preserve">筹码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同花顺</t>
    </r>
  </si>
  <si>
    <t xml:space="preserve">中短钱骤增</t>
  </si>
  <si>
    <t xml:space="preserve">不看持仓年龄</t>
  </si>
  <si>
    <t xml:space="preserve">解禁日历</t>
  </si>
  <si>
    <r>
      <rPr>
        <sz val="9"/>
        <color rgb="FF0000FF"/>
        <rFont val="Noto Sans CJK SC"/>
        <family val="2"/>
      </rPr>
      <t xml:space="preserve">未来</t>
    </r>
    <r>
      <rPr>
        <sz val="9"/>
        <color rgb="FF0000FF"/>
        <rFont val="KaiTi"/>
        <family val="0"/>
        <charset val="1"/>
      </rPr>
      <t xml:space="preserve">8</t>
    </r>
    <r>
      <rPr>
        <sz val="9"/>
        <color rgb="FF0000FF"/>
        <rFont val="Noto Sans CJK SC"/>
        <family val="2"/>
      </rPr>
      <t xml:space="preserve">周解禁量占流通比</t>
    </r>
  </si>
  <si>
    <r>
      <rPr>
        <sz val="8.5"/>
        <color rgb="FF000000"/>
        <rFont val="Noto Sans CJK SC"/>
        <family val="2"/>
      </rPr>
      <t xml:space="preserve">占比</t>
    </r>
    <r>
      <rPr>
        <sz val="8.5"/>
        <color rgb="FF000000"/>
        <rFont val="KaiTi"/>
        <family val="0"/>
        <charset val="1"/>
      </rPr>
      <t xml:space="preserve">&gt;5%</t>
    </r>
    <r>
      <rPr>
        <sz val="8.5"/>
        <color rgb="FF000000"/>
        <rFont val="Noto Sans CJK SC"/>
        <family val="2"/>
      </rPr>
      <t xml:space="preserve">即为压制</t>
    </r>
  </si>
  <si>
    <t xml:space="preserve">公告</t>
  </si>
  <si>
    <t xml:space="preserve">临近解禁</t>
  </si>
  <si>
    <t xml:space="preserve">忽略解禁</t>
  </si>
  <si>
    <t xml:space="preserve">融资余额与占比</t>
  </si>
  <si>
    <t xml:space="preserve">杠杆资金的位置</t>
  </si>
  <si>
    <r>
      <rPr>
        <sz val="8.5"/>
        <color rgb="FF000000"/>
        <rFont val="Noto Sans CJK SC"/>
        <family val="2"/>
      </rPr>
      <t xml:space="preserve">融资余额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流通市值 历史分位</t>
    </r>
  </si>
  <si>
    <t xml:space="preserve">交易所数据</t>
  </si>
  <si>
    <r>
      <rPr>
        <sz val="8.5"/>
        <color rgb="FF000000"/>
        <rFont val="Noto Sans CJK SC"/>
        <family val="2"/>
      </rPr>
      <t xml:space="preserve">分位</t>
    </r>
    <r>
      <rPr>
        <sz val="8.5"/>
        <color rgb="FF000000"/>
        <rFont val="KaiTi"/>
        <family val="0"/>
        <charset val="1"/>
      </rPr>
      <t xml:space="preserve">&gt;90%</t>
    </r>
  </si>
  <si>
    <t xml:space="preserve">不看杠杆</t>
  </si>
  <si>
    <t xml:space="preserve">现有持仓痛苦度</t>
  </si>
  <si>
    <t xml:space="preserve">当前价相对主要成本区的位置</t>
  </si>
  <si>
    <t xml:space="preserve">套牢盘占比</t>
  </si>
  <si>
    <t xml:space="preserve">筹码分布</t>
  </si>
  <si>
    <t xml:space="preserve">大量套牢盘</t>
  </si>
  <si>
    <t xml:space="preserve">忽略成本结构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</si>
  <si>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E </t>
    </r>
    <r>
      <rPr>
        <b val="true"/>
        <sz val="10.5"/>
        <color rgb="FF1F3864"/>
        <rFont val="Noto Sans CJK SC"/>
        <family val="2"/>
      </rPr>
      <t xml:space="preserve">边际买家识别</t>
    </r>
  </si>
  <si>
    <r>
      <rPr>
        <sz val="8.5"/>
        <color rgb="FF7F7F7F"/>
        <rFont val="KaiTi"/>
        <family val="0"/>
        <charset val="1"/>
      </rPr>
      <t xml:space="preserve">E </t>
    </r>
    <r>
      <rPr>
        <sz val="8.5"/>
        <color rgb="FF7F7F7F"/>
        <rFont val="Noto Sans CJK SC"/>
        <family val="2"/>
      </rPr>
      <t xml:space="preserve">边际买家识别</t>
    </r>
  </si>
  <si>
    <t xml:space="preserve">边际买家是谁</t>
  </si>
  <si>
    <r>
      <rPr>
        <sz val="9"/>
        <color rgb="FF0000FF"/>
        <rFont val="Noto Sans CJK SC"/>
        <family val="2"/>
      </rPr>
      <t xml:space="preserve">增量资金来自哪一类（北向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公募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私募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游资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被动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散户）</t>
    </r>
  </si>
  <si>
    <t xml:space="preserve">可指名一类为主</t>
  </si>
  <si>
    <t xml:space="preserve">资金流数据</t>
  </si>
  <si>
    <t xml:space="preserve">说不出即不该做</t>
  </si>
  <si>
    <t xml:space="preserve">假设「市场」在买</t>
  </si>
  <si>
    <t xml:space="preserve">剩余弹药</t>
  </si>
  <si>
    <t xml:space="preserve">该类资金的仓位是否已接近上限</t>
  </si>
  <si>
    <r>
      <rPr>
        <sz val="8.5"/>
        <color rgb="FF000000"/>
        <rFont val="Noto Sans CJK SC"/>
        <family val="2"/>
      </rPr>
      <t xml:space="preserve">仓位历史分位</t>
    </r>
    <r>
      <rPr>
        <sz val="8.5"/>
        <color rgb="FF000000"/>
        <rFont val="KaiTi"/>
        <family val="0"/>
        <charset val="1"/>
      </rPr>
      <t xml:space="preserve">&gt;85%</t>
    </r>
    <r>
      <rPr>
        <sz val="8.5"/>
        <color rgb="FF000000"/>
        <rFont val="Noto Sans CJK SC"/>
        <family val="2"/>
      </rPr>
      <t xml:space="preserve">即无弹药</t>
    </r>
  </si>
  <si>
    <t xml:space="preserve">仓位统计</t>
  </si>
  <si>
    <t xml:space="preserve">弹药耗尽</t>
  </si>
  <si>
    <t xml:space="preserve">只看流入不看仓位</t>
  </si>
  <si>
    <t xml:space="preserve">被动资金事件</t>
  </si>
  <si>
    <r>
      <rPr>
        <sz val="9"/>
        <color rgb="FF0000FF"/>
        <rFont val="Noto Sans CJK SC"/>
        <family val="2"/>
      </rPr>
      <t xml:space="preserve">指数纳入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剔除、权重调整的日历与规模</t>
    </r>
  </si>
  <si>
    <t xml:space="preserve">可量化的被动买盘金额</t>
  </si>
  <si>
    <t xml:space="preserve">指数公告</t>
  </si>
  <si>
    <r>
      <rPr>
        <sz val="8.5"/>
        <color rgb="FF000000"/>
        <rFont val="Noto Sans CJK SC"/>
        <family val="2"/>
      </rPr>
      <t xml:space="preserve">纳入已</t>
    </r>
    <r>
      <rPr>
        <sz val="8.5"/>
        <color rgb="FF000000"/>
        <rFont val="KaiTi"/>
        <family val="0"/>
        <charset val="1"/>
      </rPr>
      <t xml:space="preserve">price in</t>
    </r>
  </si>
  <si>
    <t xml:space="preserve">忽略被动流</t>
  </si>
  <si>
    <t xml:space="preserve">卖方的边际</t>
  </si>
  <si>
    <r>
      <rPr>
        <sz val="9"/>
        <color rgb="FF0000FF"/>
        <rFont val="Noto Sans CJK SC"/>
        <family val="2"/>
      </rPr>
      <t xml:space="preserve">谁在卖：解禁股东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止盈盘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量化</t>
    </r>
  </si>
  <si>
    <t xml:space="preserve">可指名一类</t>
  </si>
  <si>
    <r>
      <rPr>
        <sz val="8.5"/>
        <color rgb="FF7F7F7F"/>
        <rFont val="Noto Sans CJK SC"/>
        <family val="2"/>
      </rPr>
      <t xml:space="preserve">龙虎榜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大宗</t>
    </r>
  </si>
  <si>
    <t xml:space="preserve">持续大宗折价</t>
  </si>
  <si>
    <t xml:space="preserve">只研究买方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</si>
  <si>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F </t>
    </r>
    <r>
      <rPr>
        <b val="true"/>
        <sz val="10.5"/>
        <color rgb="FF1F3864"/>
        <rFont val="Noto Sans CJK SC"/>
        <family val="2"/>
      </rPr>
      <t xml:space="preserve">拥挤度度量</t>
    </r>
  </si>
  <si>
    <r>
      <rPr>
        <sz val="8.5"/>
        <color rgb="FF7F7F7F"/>
        <rFont val="KaiTi"/>
        <family val="0"/>
        <charset val="1"/>
      </rPr>
      <t xml:space="preserve">F </t>
    </r>
    <r>
      <rPr>
        <sz val="8.5"/>
        <color rgb="FF7F7F7F"/>
        <rFont val="Noto Sans CJK SC"/>
        <family val="2"/>
      </rPr>
      <t xml:space="preserve">拥挤度度量</t>
    </r>
  </si>
  <si>
    <t xml:space="preserve">相对成交额分位</t>
  </si>
  <si>
    <r>
      <rPr>
        <sz val="9"/>
        <color rgb="FF0000FF"/>
        <rFont val="Noto Sans CJK SC"/>
        <family val="2"/>
      </rPr>
      <t xml:space="preserve">近</t>
    </r>
    <r>
      <rPr>
        <sz val="9"/>
        <color rgb="FF0000FF"/>
        <rFont val="KaiTi"/>
        <family val="0"/>
        <charset val="1"/>
      </rPr>
      <t xml:space="preserve">20</t>
    </r>
    <r>
      <rPr>
        <sz val="9"/>
        <color rgb="FF0000FF"/>
        <rFont val="Noto Sans CJK SC"/>
        <family val="2"/>
      </rPr>
      <t xml:space="preserve">日成交额占全市场比重的历史分位</t>
    </r>
  </si>
  <si>
    <r>
      <rPr>
        <sz val="8.5"/>
        <color rgb="FF000000"/>
        <rFont val="Noto Sans CJK SC"/>
        <family val="2"/>
      </rPr>
      <t xml:space="preserve">分位</t>
    </r>
    <r>
      <rPr>
        <sz val="8.5"/>
        <color rgb="FF000000"/>
        <rFont val="KaiTi"/>
        <family val="0"/>
        <charset val="1"/>
      </rPr>
      <t xml:space="preserve">&gt;95%</t>
    </r>
    <r>
      <rPr>
        <sz val="8.5"/>
        <color rgb="FF000000"/>
        <rFont val="Noto Sans CJK SC"/>
        <family val="2"/>
      </rPr>
      <t xml:space="preserve">为极度拥挤</t>
    </r>
  </si>
  <si>
    <t xml:space="preserve">行情数据</t>
  </si>
  <si>
    <t xml:space="preserve">分位见顶回落</t>
  </si>
  <si>
    <t xml:space="preserve">只看绝对成交额</t>
  </si>
  <si>
    <t xml:space="preserve">相关性上升</t>
  </si>
  <si>
    <r>
      <rPr>
        <sz val="9"/>
        <color rgb="FF0000FF"/>
        <rFont val="Noto Sans CJK SC"/>
        <family val="2"/>
      </rPr>
      <t xml:space="preserve">板块内个股相关性升高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同一批人在买</t>
    </r>
  </si>
  <si>
    <t xml:space="preserve">滚动相关系数</t>
  </si>
  <si>
    <t xml:space="preserve">价格数据</t>
  </si>
  <si>
    <r>
      <rPr>
        <sz val="8.5"/>
        <color rgb="FF000000"/>
        <rFont val="Noto Sans CJK SC"/>
        <family val="2"/>
      </rPr>
      <t xml:space="preserve">相关性</t>
    </r>
    <r>
      <rPr>
        <sz val="8.5"/>
        <color rgb="FF000000"/>
        <rFont val="KaiTi"/>
        <family val="0"/>
        <charset val="1"/>
      </rPr>
      <t xml:space="preserve">&gt;0.8</t>
    </r>
  </si>
  <si>
    <t xml:space="preserve">忽略相关性</t>
  </si>
  <si>
    <t xml:space="preserve">卖方覆盖骤增</t>
  </si>
  <si>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个月内新增覆盖</t>
    </r>
    <r>
      <rPr>
        <sz val="9"/>
        <color rgb="FF0000FF"/>
        <rFont val="KaiTi"/>
        <family val="0"/>
        <charset val="1"/>
      </rPr>
      <t xml:space="preserve">&gt;3</t>
    </r>
    <r>
      <rPr>
        <sz val="9"/>
        <color rgb="FF0000FF"/>
        <rFont val="Noto Sans CJK SC"/>
        <family val="2"/>
      </rPr>
      <t xml:space="preserve">家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拥挤</t>
    </r>
  </si>
  <si>
    <t xml:space="preserve">覆盖变化</t>
  </si>
  <si>
    <t xml:space="preserve">研报库</t>
  </si>
  <si>
    <t xml:space="preserve">覆盖骤增</t>
  </si>
  <si>
    <t xml:space="preserve">把覆盖增加当利好</t>
  </si>
  <si>
    <t xml:space="preserve">舆情热度分位</t>
  </si>
  <si>
    <r>
      <rPr>
        <sz val="9"/>
        <color rgb="FF0000FF"/>
        <rFont val="Noto Sans CJK SC"/>
        <family val="2"/>
      </rPr>
      <t xml:space="preserve">搜索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讨论量的历史分位</t>
    </r>
  </si>
  <si>
    <t xml:space="preserve">舆情数据</t>
  </si>
  <si>
    <t xml:space="preserve">热度见顶</t>
  </si>
  <si>
    <t xml:space="preserve">忽略舆情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</si>
  <si>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G </t>
    </r>
    <r>
      <rPr>
        <b val="true"/>
        <sz val="10.5"/>
        <color rgb="FF1F3864"/>
        <rFont val="Noto Sans CJK SC"/>
        <family val="2"/>
      </rPr>
      <t xml:space="preserve">催化日历与 </t>
    </r>
    <r>
      <rPr>
        <b val="true"/>
        <sz val="10.5"/>
        <color rgb="FF1F3864"/>
        <rFont val="KaiTi"/>
        <family val="0"/>
        <charset val="1"/>
      </rPr>
      <t xml:space="preserve">price-in</t>
    </r>
  </si>
  <si>
    <r>
      <rPr>
        <sz val="8.5"/>
        <color rgb="FF7F7F7F"/>
        <rFont val="KaiTi"/>
        <family val="0"/>
        <charset val="1"/>
      </rPr>
      <t xml:space="preserve">G </t>
    </r>
    <r>
      <rPr>
        <sz val="8.5"/>
        <color rgb="FF7F7F7F"/>
        <rFont val="Noto Sans CJK SC"/>
        <family val="2"/>
      </rPr>
      <t xml:space="preserve">催化日历与 </t>
    </r>
    <r>
      <rPr>
        <sz val="8.5"/>
        <color rgb="FF7F7F7F"/>
        <rFont val="KaiTi"/>
        <family val="0"/>
        <charset val="1"/>
      </rPr>
      <t xml:space="preserve">price-in</t>
    </r>
  </si>
  <si>
    <r>
      <rPr>
        <b val="true"/>
        <sz val="9"/>
        <color rgb="FF000000"/>
        <rFont val="Noto Sans CJK SC"/>
        <family val="2"/>
      </rPr>
      <t xml:space="preserve">未来</t>
    </r>
    <r>
      <rPr>
        <b val="true"/>
        <sz val="9"/>
        <color rgb="FF000000"/>
        <rFont val="KaiTi"/>
        <family val="0"/>
        <charset val="1"/>
      </rPr>
      <t xml:space="preserve">8</t>
    </r>
    <r>
      <rPr>
        <b val="true"/>
        <sz val="9"/>
        <color rgb="FF000000"/>
        <rFont val="Noto Sans CJK SC"/>
        <family val="2"/>
      </rPr>
      <t xml:space="preserve">周日程表</t>
    </r>
  </si>
  <si>
    <r>
      <rPr>
        <sz val="9"/>
        <color rgb="FF0000FF"/>
        <rFont val="Noto Sans CJK SC"/>
        <family val="2"/>
      </rPr>
      <t xml:space="preserve">财报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招标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投产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政策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展会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解禁，精确到日</t>
    </r>
  </si>
  <si>
    <t xml:space="preserve">逐项列日期与预期差方向</t>
  </si>
  <si>
    <r>
      <rPr>
        <sz val="8.5"/>
        <color rgb="FF7F7F7F"/>
        <rFont val="Noto Sans CJK SC"/>
        <family val="2"/>
      </rPr>
      <t xml:space="preserve">公告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政策库</t>
    </r>
  </si>
  <si>
    <t xml:space="preserve">日程变更</t>
  </si>
  <si>
    <t xml:space="preserve">没有日历就交易</t>
  </si>
  <si>
    <r>
      <rPr>
        <b val="true"/>
        <sz val="9"/>
        <color rgb="FF000000"/>
        <rFont val="Noto Sans CJK SC"/>
        <family val="2"/>
      </rPr>
      <t xml:space="preserve">每个节点的</t>
    </r>
    <r>
      <rPr>
        <b val="true"/>
        <sz val="9"/>
        <color rgb="FF000000"/>
        <rFont val="KaiTi"/>
        <family val="0"/>
        <charset val="1"/>
      </rPr>
      <t xml:space="preserve">price-in</t>
    </r>
    <r>
      <rPr>
        <b val="true"/>
        <sz val="9"/>
        <color rgb="FF000000"/>
        <rFont val="Noto Sans CJK SC"/>
        <family val="2"/>
      </rPr>
      <t xml:space="preserve">程度</t>
    </r>
  </si>
  <si>
    <r>
      <rPr>
        <sz val="9"/>
        <color rgb="FF0000FF"/>
        <rFont val="Noto Sans CJK SC"/>
        <family val="2"/>
      </rPr>
      <t xml:space="preserve">事前涨幅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该类事件历史平均涨幅</t>
    </r>
  </si>
  <si>
    <r>
      <rPr>
        <sz val="8.5"/>
        <color rgb="FF000000"/>
        <rFont val="Noto Sans CJK SC"/>
        <family val="2"/>
      </rPr>
      <t xml:space="preserve">事前已涨超历史均值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已</t>
    </r>
    <r>
      <rPr>
        <sz val="8.5"/>
        <color rgb="FF000000"/>
        <rFont val="KaiTi"/>
        <family val="0"/>
        <charset val="1"/>
      </rPr>
      <t xml:space="preserve">price in</t>
    </r>
  </si>
  <si>
    <t xml:space="preserve">base rate</t>
  </si>
  <si>
    <r>
      <rPr>
        <sz val="8.5"/>
        <color rgb="FF000000"/>
        <rFont val="Noto Sans CJK SC"/>
        <family val="2"/>
      </rPr>
      <t xml:space="preserve">超额</t>
    </r>
    <r>
      <rPr>
        <sz val="8.5"/>
        <color rgb="FF000000"/>
        <rFont val="KaiTi"/>
        <family val="0"/>
        <charset val="1"/>
      </rPr>
      <t xml:space="preserve">price in</t>
    </r>
  </si>
  <si>
    <r>
      <rPr>
        <sz val="8.5"/>
        <color rgb="FFC00000"/>
        <rFont val="Noto Sans CJK SC"/>
        <family val="2"/>
      </rPr>
      <t xml:space="preserve">假设未</t>
    </r>
    <r>
      <rPr>
        <sz val="8.5"/>
        <color rgb="FFC00000"/>
        <rFont val="KaiTi"/>
        <family val="0"/>
        <charset val="1"/>
      </rPr>
      <t xml:space="preserve">price in</t>
    </r>
  </si>
  <si>
    <t xml:space="preserve">事件的确定性分级</t>
  </si>
  <si>
    <r>
      <rPr>
        <sz val="9"/>
        <color rgb="FF0000FF"/>
        <rFont val="Noto Sans CJK SC"/>
        <family val="2"/>
      </rPr>
      <t xml:space="preserve">确定发生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大概率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传闻——分级定仓</t>
    </r>
  </si>
  <si>
    <r>
      <rPr>
        <sz val="8.5"/>
        <color rgb="FF000000"/>
        <rFont val="Noto Sans CJK SC"/>
        <family val="2"/>
      </rPr>
      <t xml:space="preserve">传闻类仓位不超过</t>
    </r>
    <r>
      <rPr>
        <sz val="8.5"/>
        <color rgb="FF000000"/>
        <rFont val="KaiTi"/>
        <family val="0"/>
        <charset val="1"/>
      </rPr>
      <t xml:space="preserve">1/3</t>
    </r>
  </si>
  <si>
    <t xml:space="preserve">传闻被证伪</t>
  </si>
  <si>
    <t xml:space="preserve">按传闻满仓</t>
  </si>
  <si>
    <r>
      <rPr>
        <b val="true"/>
        <sz val="9"/>
        <color rgb="FF000000"/>
        <rFont val="Noto Sans CJK SC"/>
        <family val="2"/>
      </rPr>
      <t xml:space="preserve">兑现即卖 </t>
    </r>
    <r>
      <rPr>
        <b val="true"/>
        <sz val="9"/>
        <color rgb="FF000000"/>
        <rFont val="KaiTi"/>
        <family val="0"/>
        <charset val="1"/>
      </rPr>
      <t xml:space="preserve">vs </t>
    </r>
    <r>
      <rPr>
        <b val="true"/>
        <sz val="9"/>
        <color rgb="FF000000"/>
        <rFont val="Noto Sans CJK SC"/>
        <family val="2"/>
      </rPr>
      <t xml:space="preserve">兑现加仓</t>
    </r>
  </si>
  <si>
    <t xml:space="preserve">取决于事件是终点还是起点</t>
  </si>
  <si>
    <t xml:space="preserve">事件后是否有下一节点</t>
  </si>
  <si>
    <t xml:space="preserve">日历</t>
  </si>
  <si>
    <t xml:space="preserve">无下一节点</t>
  </si>
  <si>
    <t xml:space="preserve">无脑持有等下一个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</si>
  <si>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H </t>
    </r>
    <r>
      <rPr>
        <b val="true"/>
        <sz val="10.5"/>
        <color rgb="FF1F3864"/>
        <rFont val="Noto Sans CJK SC"/>
        <family val="2"/>
      </rPr>
      <t xml:space="preserve">事件后 </t>
    </r>
    <r>
      <rPr>
        <b val="true"/>
        <sz val="10.5"/>
        <color rgb="FF1F3864"/>
        <rFont val="KaiTi"/>
        <family val="0"/>
        <charset val="1"/>
      </rPr>
      <t xml:space="preserve">base rate</t>
    </r>
  </si>
  <si>
    <r>
      <rPr>
        <sz val="8.5"/>
        <color rgb="FF7F7F7F"/>
        <rFont val="KaiTi"/>
        <family val="0"/>
        <charset val="1"/>
      </rPr>
      <t xml:space="preserve">H </t>
    </r>
    <r>
      <rPr>
        <sz val="8.5"/>
        <color rgb="FF7F7F7F"/>
        <rFont val="Noto Sans CJK SC"/>
        <family val="2"/>
      </rPr>
      <t xml:space="preserve">事件后 </t>
    </r>
    <r>
      <rPr>
        <sz val="8.5"/>
        <color rgb="FF7F7F7F"/>
        <rFont val="KaiTi"/>
        <family val="0"/>
        <charset val="1"/>
      </rPr>
      <t xml:space="preserve">base rate</t>
    </r>
  </si>
  <si>
    <t xml:space="preserve">这类事件的历史反应</t>
  </si>
  <si>
    <t xml:space="preserve">平均涨几天、涨多少、回吐比例</t>
  </si>
  <si>
    <r>
      <rPr>
        <sz val="8.5"/>
        <color rgb="FF000000"/>
        <rFont val="Noto Sans CJK SC"/>
        <family val="2"/>
      </rPr>
      <t xml:space="preserve">样本≥</t>
    </r>
    <r>
      <rPr>
        <sz val="8.5"/>
        <color rgb="FF000000"/>
        <rFont val="KaiTi"/>
        <family val="0"/>
        <charset val="1"/>
      </rPr>
      <t xml:space="preserve">20</t>
    </r>
    <r>
      <rPr>
        <sz val="8.5"/>
        <color rgb="FF000000"/>
        <rFont val="Noto Sans CJK SC"/>
        <family val="2"/>
      </rPr>
      <t xml:space="preserve">次才可用</t>
    </r>
  </si>
  <si>
    <t xml:space="preserve">历史事件库</t>
  </si>
  <si>
    <t xml:space="preserve">样本不足</t>
  </si>
  <si>
    <r>
      <rPr>
        <sz val="8.5"/>
        <color rgb="FFC00000"/>
        <rFont val="Noto Sans CJK SC"/>
        <family val="2"/>
      </rPr>
      <t xml:space="preserve">用</t>
    </r>
    <r>
      <rPr>
        <sz val="8.5"/>
        <color rgb="FFC00000"/>
        <rFont val="KaiTi"/>
        <family val="0"/>
        <charset val="1"/>
      </rPr>
      <t xml:space="preserve">3</t>
    </r>
    <r>
      <rPr>
        <sz val="8.5"/>
        <color rgb="FFC00000"/>
        <rFont val="Noto Sans CJK SC"/>
        <family val="2"/>
      </rPr>
      <t xml:space="preserve">个案例下结论</t>
    </r>
  </si>
  <si>
    <r>
      <rPr>
        <b val="true"/>
        <sz val="9"/>
        <color rgb="FF000000"/>
        <rFont val="KaiTi"/>
        <family val="0"/>
        <charset val="1"/>
      </rPr>
      <t xml:space="preserve">Regime </t>
    </r>
    <r>
      <rPr>
        <b val="true"/>
        <sz val="9"/>
        <color rgb="FF000000"/>
        <rFont val="Noto Sans CJK SC"/>
        <family val="2"/>
      </rPr>
      <t xml:space="preserve">依赖</t>
    </r>
  </si>
  <si>
    <t xml:space="preserve">牛熊环境下同类事件反应相反</t>
  </si>
  <si>
    <r>
      <rPr>
        <sz val="8.5"/>
        <color rgb="FF000000"/>
        <rFont val="Noto Sans CJK SC"/>
        <family val="2"/>
      </rPr>
      <t xml:space="preserve">分</t>
    </r>
    <r>
      <rPr>
        <sz val="8.5"/>
        <color rgb="FF000000"/>
        <rFont val="KaiTi"/>
        <family val="0"/>
        <charset val="1"/>
      </rPr>
      <t xml:space="preserve">regime</t>
    </r>
    <r>
      <rPr>
        <sz val="8.5"/>
        <color rgb="FF000000"/>
        <rFont val="Noto Sans CJK SC"/>
        <family val="2"/>
      </rPr>
      <t xml:space="preserve">统计</t>
    </r>
  </si>
  <si>
    <r>
      <rPr>
        <sz val="8.5"/>
        <color rgb="FF7F7F7F"/>
        <rFont val="Noto Sans CJK SC"/>
        <family val="2"/>
      </rPr>
      <t xml:space="preserve">历史</t>
    </r>
    <r>
      <rPr>
        <sz val="8.5"/>
        <color rgb="FF7F7F7F"/>
        <rFont val="KaiTi"/>
        <family val="0"/>
        <charset val="1"/>
      </rPr>
      <t xml:space="preserve">+</t>
    </r>
    <r>
      <rPr>
        <sz val="8.5"/>
        <color rgb="FF7F7F7F"/>
        <rFont val="Noto Sans CJK SC"/>
        <family val="2"/>
      </rPr>
      <t xml:space="preserve">宏观</t>
    </r>
  </si>
  <si>
    <r>
      <rPr>
        <sz val="8.5"/>
        <color rgb="FF000000"/>
        <rFont val="KaiTi"/>
        <family val="0"/>
        <charset val="1"/>
      </rPr>
      <t xml:space="preserve">regime</t>
    </r>
    <r>
      <rPr>
        <sz val="8.5"/>
        <color rgb="FF000000"/>
        <rFont val="Noto Sans CJK SC"/>
        <family val="2"/>
      </rPr>
      <t xml:space="preserve">切换</t>
    </r>
  </si>
  <si>
    <t xml:space="preserve">混合样本统计</t>
  </si>
  <si>
    <t xml:space="preserve">首日反应的信息量</t>
  </si>
  <si>
    <r>
      <rPr>
        <sz val="9"/>
        <color rgb="FF0000FF"/>
        <rFont val="Noto Sans CJK SC"/>
        <family val="2"/>
      </rPr>
      <t xml:space="preserve">首日反应方向对后续</t>
    </r>
    <r>
      <rPr>
        <sz val="9"/>
        <color rgb="FF0000FF"/>
        <rFont val="KaiTi"/>
        <family val="0"/>
        <charset val="1"/>
      </rPr>
      <t xml:space="preserve">5</t>
    </r>
    <r>
      <rPr>
        <sz val="9"/>
        <color rgb="FF0000FF"/>
        <rFont val="Noto Sans CJK SC"/>
        <family val="2"/>
      </rPr>
      <t xml:space="preserve">日有预测力</t>
    </r>
  </si>
  <si>
    <t xml:space="preserve">首日涨跌与后续相关性</t>
  </si>
  <si>
    <t xml:space="preserve">历史</t>
  </si>
  <si>
    <t xml:space="preserve">关系失效</t>
  </si>
  <si>
    <t xml:space="preserve">忽略首日</t>
  </si>
  <si>
    <t xml:space="preserve">反向情形的概率</t>
  </si>
  <si>
    <t xml:space="preserve">「利好出尽」的历史频率</t>
  </si>
  <si>
    <t xml:space="preserve">反向发生率</t>
  </si>
  <si>
    <t xml:space="preserve">高反向率</t>
  </si>
  <si>
    <t xml:space="preserve">只统计顺向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</si>
  <si>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I </t>
    </r>
    <r>
      <rPr>
        <b val="true"/>
        <sz val="10.5"/>
        <color rgb="FF1F3864"/>
        <rFont val="Noto Sans CJK SC"/>
        <family val="2"/>
      </rPr>
      <t xml:space="preserve">跨市场隔夜映射</t>
    </r>
  </si>
  <si>
    <r>
      <rPr>
        <sz val="8.5"/>
        <color rgb="FF7F7F7F"/>
        <rFont val="KaiTi"/>
        <family val="0"/>
        <charset val="1"/>
      </rPr>
      <t xml:space="preserve">I </t>
    </r>
    <r>
      <rPr>
        <sz val="8.5"/>
        <color rgb="FF7F7F7F"/>
        <rFont val="Noto Sans CJK SC"/>
        <family val="2"/>
      </rPr>
      <t xml:space="preserve">跨市场隔夜映射</t>
    </r>
  </si>
  <si>
    <t xml:space="preserve">海外锚</t>
  </si>
  <si>
    <r>
      <rPr>
        <sz val="9"/>
        <color rgb="FF0000FF"/>
        <rFont val="Noto Sans CJK SC"/>
        <family val="2"/>
      </rPr>
      <t xml:space="preserve">对应海外标的隔夜涨跌与</t>
    </r>
    <r>
      <rPr>
        <sz val="9"/>
        <color rgb="FF0000FF"/>
        <rFont val="KaiTi"/>
        <family val="0"/>
        <charset val="1"/>
      </rPr>
      <t xml:space="preserve">A</t>
    </r>
    <r>
      <rPr>
        <sz val="9"/>
        <color rgb="FF0000FF"/>
        <rFont val="Noto Sans CJK SC"/>
        <family val="2"/>
      </rPr>
      <t xml:space="preserve">股次日的历史</t>
    </r>
    <r>
      <rPr>
        <sz val="9"/>
        <color rgb="FF0000FF"/>
        <rFont val="KaiTi"/>
        <family val="0"/>
        <charset val="1"/>
      </rPr>
      <t xml:space="preserve">beta</t>
    </r>
  </si>
  <si>
    <r>
      <rPr>
        <sz val="8.5"/>
        <color rgb="FF000000"/>
        <rFont val="Noto Sans CJK SC"/>
        <family val="2"/>
      </rPr>
      <t xml:space="preserve">回归</t>
    </r>
    <r>
      <rPr>
        <sz val="8.5"/>
        <color rgb="FF000000"/>
        <rFont val="KaiTi"/>
        <family val="0"/>
        <charset val="1"/>
      </rPr>
      <t xml:space="preserve">beta</t>
    </r>
    <r>
      <rPr>
        <sz val="8.5"/>
        <color rgb="FF000000"/>
        <rFont val="Noto Sans CJK SC"/>
        <family val="2"/>
      </rPr>
      <t xml:space="preserve">与</t>
    </r>
    <r>
      <rPr>
        <sz val="8.5"/>
        <color rgb="FF000000"/>
        <rFont val="KaiTi"/>
        <family val="0"/>
        <charset val="1"/>
      </rPr>
      <t xml:space="preserve">R²</t>
    </r>
  </si>
  <si>
    <r>
      <rPr>
        <sz val="8.5"/>
        <color rgb="FFC00000"/>
        <rFont val="Noto Sans CJK SC"/>
        <family val="2"/>
      </rPr>
      <t xml:space="preserve">无脑</t>
    </r>
    <r>
      <rPr>
        <sz val="8.5"/>
        <color rgb="FFC00000"/>
        <rFont val="KaiTi"/>
        <family val="0"/>
        <charset val="1"/>
      </rPr>
      <t xml:space="preserve">1:1</t>
    </r>
    <r>
      <rPr>
        <sz val="8.5"/>
        <color rgb="FFC00000"/>
        <rFont val="Noto Sans CJK SC"/>
        <family val="2"/>
      </rPr>
      <t xml:space="preserve">映射</t>
    </r>
  </si>
  <si>
    <r>
      <rPr>
        <b val="true"/>
        <sz val="9"/>
        <color rgb="FF000000"/>
        <rFont val="Noto Sans CJK SC"/>
        <family val="2"/>
      </rPr>
      <t xml:space="preserve">商品</t>
    </r>
    <r>
      <rPr>
        <b val="true"/>
        <sz val="9"/>
        <color rgb="FF000000"/>
        <rFont val="KaiTi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汇率联动</t>
    </r>
  </si>
  <si>
    <t xml:space="preserve">上游商品价格→股价的传导时滞</t>
  </si>
  <si>
    <r>
      <rPr>
        <sz val="8.5"/>
        <color rgb="FF000000"/>
        <rFont val="Noto Sans CJK SC"/>
        <family val="2"/>
      </rPr>
      <t xml:space="preserve">历史时滞（通常</t>
    </r>
    <r>
      <rPr>
        <sz val="8.5"/>
        <color rgb="FF000000"/>
        <rFont val="KaiTi"/>
        <family val="0"/>
        <charset val="1"/>
      </rPr>
      <t xml:space="preserve">0–5</t>
    </r>
    <r>
      <rPr>
        <sz val="8.5"/>
        <color rgb="FF000000"/>
        <rFont val="Noto Sans CJK SC"/>
        <family val="2"/>
      </rPr>
      <t xml:space="preserve">日）</t>
    </r>
  </si>
  <si>
    <t xml:space="preserve">商品数据</t>
  </si>
  <si>
    <t xml:space="preserve">相关性不稳定</t>
  </si>
  <si>
    <t xml:space="preserve">假设即时传导</t>
  </si>
  <si>
    <t xml:space="preserve">时区套利窗口</t>
  </si>
  <si>
    <t xml:space="preserve">隔夜信息在开盘前的可交易窗口</t>
  </si>
  <si>
    <t xml:space="preserve">开盘竞价的信息含量</t>
  </si>
  <si>
    <t xml:space="preserve">竞价数据</t>
  </si>
  <si>
    <t xml:space="preserve">竞价已充分反应</t>
  </si>
  <si>
    <t xml:space="preserve">开盘后才动</t>
  </si>
  <si>
    <r>
      <rPr>
        <b val="true"/>
        <sz val="9"/>
        <color rgb="FF000000"/>
        <rFont val="KaiTi"/>
        <family val="0"/>
        <charset val="1"/>
      </rPr>
      <t xml:space="preserve">ADR/H</t>
    </r>
    <r>
      <rPr>
        <b val="true"/>
        <sz val="9"/>
        <color rgb="FF000000"/>
        <rFont val="Noto Sans CJK SC"/>
        <family val="2"/>
      </rPr>
      <t xml:space="preserve">股溢价</t>
    </r>
  </si>
  <si>
    <t xml:space="preserve">同一资产跨市场价差的均值回复</t>
  </si>
  <si>
    <t xml:space="preserve">价差历史分位</t>
  </si>
  <si>
    <t xml:space="preserve">价差结构性走阔</t>
  </si>
  <si>
    <t xml:space="preserve">把结构性价差当机会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</si>
  <si>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J </t>
    </r>
    <r>
      <rPr>
        <b val="true"/>
        <sz val="10.5"/>
        <color rgb="FF1F3864"/>
        <rFont val="Noto Sans CJK SC"/>
        <family val="2"/>
      </rPr>
      <t xml:space="preserve">流动性与冲击成本</t>
    </r>
  </si>
  <si>
    <r>
      <rPr>
        <sz val="8.5"/>
        <color rgb="FF7F7F7F"/>
        <rFont val="KaiTi"/>
        <family val="0"/>
        <charset val="1"/>
      </rPr>
      <t xml:space="preserve">J </t>
    </r>
    <r>
      <rPr>
        <sz val="8.5"/>
        <color rgb="FF7F7F7F"/>
        <rFont val="Noto Sans CJK SC"/>
        <family val="2"/>
      </rPr>
      <t xml:space="preserve">流动性与冲击成本</t>
    </r>
  </si>
  <si>
    <t xml:space="preserve">可建仓规模</t>
  </si>
  <si>
    <r>
      <rPr>
        <sz val="9"/>
        <color rgb="FF0000FF"/>
        <rFont val="Noto Sans CJK SC"/>
        <family val="2"/>
      </rPr>
      <t xml:space="preserve">日均成交额的</t>
    </r>
    <r>
      <rPr>
        <sz val="9"/>
        <color rgb="FF0000FF"/>
        <rFont val="KaiTi"/>
        <family val="0"/>
        <charset val="1"/>
      </rPr>
      <t xml:space="preserve">10%</t>
    </r>
    <r>
      <rPr>
        <sz val="9"/>
        <color rgb="FF0000FF"/>
        <rFont val="Noto Sans CJK SC"/>
        <family val="2"/>
      </rPr>
      <t xml:space="preserve">为单日上限</t>
    </r>
  </si>
  <si>
    <r>
      <rPr>
        <sz val="8.5"/>
        <color rgb="FF000000"/>
        <rFont val="Noto Sans CJK SC"/>
        <family val="2"/>
      </rPr>
      <t xml:space="preserve">目标仓位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日成交额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建仓天数</t>
    </r>
  </si>
  <si>
    <t xml:space="preserve">行情</t>
  </si>
  <si>
    <t xml:space="preserve">流动性骤降</t>
  </si>
  <si>
    <t xml:space="preserve">忽略建仓天数</t>
  </si>
  <si>
    <t xml:space="preserve">冲击成本估算</t>
  </si>
  <si>
    <r>
      <rPr>
        <sz val="9"/>
        <color rgb="FF0000FF"/>
        <rFont val="Noto Sans CJK SC"/>
        <family val="2"/>
      </rPr>
      <t xml:space="preserve">建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平仓的滑点占预期收益的比重</t>
    </r>
  </si>
  <si>
    <r>
      <rPr>
        <sz val="8.5"/>
        <color rgb="FF000000"/>
        <rFont val="Noto Sans CJK SC"/>
        <family val="2"/>
      </rPr>
      <t xml:space="preserve">滑点</t>
    </r>
    <r>
      <rPr>
        <sz val="8.5"/>
        <color rgb="FF000000"/>
        <rFont val="KaiTi"/>
        <family val="0"/>
        <charset val="1"/>
      </rPr>
      <t xml:space="preserve">&gt;</t>
    </r>
    <r>
      <rPr>
        <sz val="8.5"/>
        <color rgb="FF000000"/>
        <rFont val="Noto Sans CJK SC"/>
        <family val="2"/>
      </rPr>
      <t xml:space="preserve">预期收益</t>
    </r>
    <r>
      <rPr>
        <sz val="8.5"/>
        <color rgb="FF000000"/>
        <rFont val="KaiTi"/>
        <family val="0"/>
        <charset val="1"/>
      </rPr>
      <t xml:space="preserve">30%</t>
    </r>
    <r>
      <rPr>
        <sz val="8.5"/>
        <color rgb="FF000000"/>
        <rFont val="Noto Sans CJK SC"/>
        <family val="2"/>
      </rPr>
      <t xml:space="preserve">即不做</t>
    </r>
  </si>
  <si>
    <t xml:space="preserve">历史成交</t>
  </si>
  <si>
    <t xml:space="preserve">预期收益被滑点吃掉</t>
  </si>
  <si>
    <t xml:space="preserve">只算理论收益</t>
  </si>
  <si>
    <t xml:space="preserve">退出路径</t>
  </si>
  <si>
    <t xml:space="preserve">出事时能否在两日内平掉</t>
  </si>
  <si>
    <r>
      <rPr>
        <sz val="8.5"/>
        <color rgb="FF000000"/>
        <rFont val="Noto Sans CJK SC"/>
        <family val="2"/>
      </rPr>
      <t xml:space="preserve">跌停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流动性枯竭情景</t>
    </r>
  </si>
  <si>
    <t xml:space="preserve">压力测试</t>
  </si>
  <si>
    <t xml:space="preserve">无退出路径</t>
  </si>
  <si>
    <t xml:space="preserve">只想进不想出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</si>
  <si>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K </t>
    </r>
    <r>
      <rPr>
        <b val="true"/>
        <sz val="10.5"/>
        <color rgb="FF1F3864"/>
        <rFont val="Noto Sans CJK SC"/>
        <family val="2"/>
      </rPr>
      <t xml:space="preserve">叙事的当下状态</t>
    </r>
  </si>
  <si>
    <r>
      <rPr>
        <sz val="8.5"/>
        <color rgb="FF7F7F7F"/>
        <rFont val="KaiTi"/>
        <family val="0"/>
        <charset val="1"/>
      </rPr>
      <t xml:space="preserve">K </t>
    </r>
    <r>
      <rPr>
        <sz val="8.5"/>
        <color rgb="FF7F7F7F"/>
        <rFont val="Noto Sans CJK SC"/>
        <family val="2"/>
      </rPr>
      <t xml:space="preserve">叙事的当下状态</t>
    </r>
  </si>
  <si>
    <t xml:space="preserve">市场在交易哪个故事</t>
  </si>
  <si>
    <t xml:space="preserve">当下主导叙事可一句话说清</t>
  </si>
  <si>
    <t xml:space="preserve">可指名唯一主叙事</t>
  </si>
  <si>
    <r>
      <rPr>
        <sz val="8.5"/>
        <color rgb="FF7F7F7F"/>
        <rFont val="Noto Sans CJK SC"/>
        <family val="2"/>
      </rPr>
      <t xml:space="preserve">舆情</t>
    </r>
    <r>
      <rPr>
        <sz val="8.5"/>
        <color rgb="FF7F7F7F"/>
        <rFont val="KaiTi"/>
        <family val="0"/>
        <charset val="1"/>
      </rPr>
      <t xml:space="preserve">/</t>
    </r>
    <r>
      <rPr>
        <sz val="8.5"/>
        <color rgb="FF7F7F7F"/>
        <rFont val="Noto Sans CJK SC"/>
        <family val="2"/>
      </rPr>
      <t xml:space="preserve">资金流</t>
    </r>
  </si>
  <si>
    <t xml:space="preserve">叙事被替换</t>
  </si>
  <si>
    <t xml:space="preserve">以为市场在交易基本面</t>
  </si>
  <si>
    <t xml:space="preserve">叙事的三态</t>
  </si>
  <si>
    <t xml:space="preserve">active / ignored / priced-out</t>
  </si>
  <si>
    <r>
      <rPr>
        <sz val="8.5"/>
        <color rgb="FF000000"/>
        <rFont val="Noto Sans CJK SC"/>
        <family val="2"/>
      </rPr>
      <t xml:space="preserve">资金流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估值分位联合判定</t>
    </r>
  </si>
  <si>
    <r>
      <rPr>
        <sz val="8.5"/>
        <color rgb="FF000000"/>
        <rFont val="Noto Sans CJK SC"/>
        <family val="2"/>
      </rPr>
      <t xml:space="preserve">从</t>
    </r>
    <r>
      <rPr>
        <sz val="8.5"/>
        <color rgb="FF000000"/>
        <rFont val="KaiTi"/>
        <family val="0"/>
        <charset val="1"/>
      </rPr>
      <t xml:space="preserve">active</t>
    </r>
    <r>
      <rPr>
        <sz val="8.5"/>
        <color rgb="FF000000"/>
        <rFont val="Noto Sans CJK SC"/>
        <family val="2"/>
      </rPr>
      <t xml:space="preserve">转</t>
    </r>
    <r>
      <rPr>
        <sz val="8.5"/>
        <color rgb="FF000000"/>
        <rFont val="KaiTi"/>
        <family val="0"/>
        <charset val="1"/>
      </rPr>
      <t xml:space="preserve">priced-out</t>
    </r>
  </si>
  <si>
    <t xml:space="preserve">只看叙事不看定价</t>
  </si>
  <si>
    <t xml:space="preserve">本次事件对叙事的作用</t>
  </si>
  <si>
    <r>
      <rPr>
        <sz val="9"/>
        <color rgb="FF0000FF"/>
        <rFont val="Noto Sans CJK SC"/>
        <family val="2"/>
      </rPr>
      <t xml:space="preserve">强化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削弱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替换</t>
    </r>
  </si>
  <si>
    <r>
      <rPr>
        <sz val="8.5"/>
        <color rgb="FF000000"/>
        <rFont val="Noto Sans CJK SC"/>
        <family val="2"/>
      </rPr>
      <t xml:space="preserve">事后</t>
    </r>
    <r>
      <rPr>
        <sz val="8.5"/>
        <color rgb="FF000000"/>
        <rFont val="KaiTi"/>
        <family val="0"/>
        <charset val="1"/>
      </rPr>
      <t xml:space="preserve">48</t>
    </r>
    <r>
      <rPr>
        <sz val="8.5"/>
        <color rgb="FF000000"/>
        <rFont val="Noto Sans CJK SC"/>
        <family val="2"/>
      </rPr>
      <t xml:space="preserve">小时资金流方向</t>
    </r>
  </si>
  <si>
    <t xml:space="preserve">资金流</t>
  </si>
  <si>
    <t xml:space="preserve">替换发生</t>
  </si>
  <si>
    <t xml:space="preserve">只评估事件本身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</si>
  <si>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L </t>
    </r>
    <r>
      <rPr>
        <b val="true"/>
        <sz val="10.5"/>
        <color rgb="FF1F3864"/>
        <rFont val="Noto Sans CJK SC"/>
        <family val="2"/>
      </rPr>
      <t xml:space="preserve">证伪与纪律</t>
    </r>
  </si>
  <si>
    <r>
      <rPr>
        <sz val="8.5"/>
        <color rgb="FF7F7F7F"/>
        <rFont val="KaiTi"/>
        <family val="0"/>
        <charset val="1"/>
      </rPr>
      <t xml:space="preserve">L </t>
    </r>
    <r>
      <rPr>
        <sz val="8.5"/>
        <color rgb="FF7F7F7F"/>
        <rFont val="Noto Sans CJK SC"/>
        <family val="2"/>
      </rPr>
      <t xml:space="preserve">证伪与纪律</t>
    </r>
  </si>
  <si>
    <t xml:space="preserve">事件没发生即离场</t>
  </si>
  <si>
    <r>
      <rPr>
        <sz val="9"/>
        <color rgb="FF0000FF"/>
        <rFont val="Noto Sans CJK SC"/>
        <family val="2"/>
      </rPr>
      <t xml:space="preserve">预设事件未按期发生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判断作废</t>
    </r>
  </si>
  <si>
    <t xml:space="preserve">按日期硬性执行</t>
  </si>
  <si>
    <t xml:space="preserve">延期即减仓</t>
  </si>
  <si>
    <t xml:space="preserve">延期后继续等</t>
  </si>
  <si>
    <t xml:space="preserve">价格反向即离场</t>
  </si>
  <si>
    <r>
      <rPr>
        <sz val="9"/>
        <color rgb="FF0000FF"/>
        <rFont val="Noto Sans CJK SC"/>
        <family val="2"/>
      </rPr>
      <t xml:space="preserve">事件发生但价格反向</t>
    </r>
    <r>
      <rPr>
        <sz val="9"/>
        <color rgb="FF0000FF"/>
        <rFont val="KaiTi"/>
        <family val="0"/>
        <charset val="1"/>
      </rPr>
      <t xml:space="preserve">=</t>
    </r>
    <r>
      <rPr>
        <sz val="9"/>
        <color rgb="FF0000FF"/>
        <rFont val="Noto Sans CJK SC"/>
        <family val="2"/>
      </rPr>
      <t xml:space="preserve">定位判断错了</t>
    </r>
  </si>
  <si>
    <t xml:space="preserve">反向即离场</t>
  </si>
  <si>
    <t xml:space="preserve">事后合理化</t>
  </si>
  <si>
    <t xml:space="preserve">单笔风险上限</t>
  </si>
  <si>
    <r>
      <rPr>
        <sz val="9"/>
        <color rgb="FF0000FF"/>
        <rFont val="Noto Sans CJK SC"/>
        <family val="2"/>
      </rPr>
      <t xml:space="preserve">短期头寸单笔风险不超过组合的</t>
    </r>
    <r>
      <rPr>
        <sz val="9"/>
        <color rgb="FF0000FF"/>
        <rFont val="KaiTi"/>
        <family val="0"/>
        <charset val="1"/>
      </rPr>
      <t xml:space="preserve">x%</t>
    </r>
  </si>
  <si>
    <t xml:space="preserve">事前写死</t>
  </si>
  <si>
    <t xml:space="preserve">风控表</t>
  </si>
  <si>
    <t xml:space="preserve">超限</t>
  </si>
  <si>
    <t xml:space="preserve">事后加仓摊平</t>
  </si>
  <si>
    <r>
      <rPr>
        <b val="true"/>
        <sz val="10.5"/>
        <color rgb="FF1F3864"/>
        <rFont val="Noto Sans CJK SC"/>
        <family val="2"/>
      </rPr>
      <t xml:space="preserve">短期（≤</t>
    </r>
    <r>
      <rPr>
        <b val="true"/>
        <sz val="10.5"/>
        <color rgb="FF1F3864"/>
        <rFont val="KaiTi"/>
        <family val="0"/>
        <charset val="1"/>
      </rPr>
      <t xml:space="preserve">1Q</t>
    </r>
    <r>
      <rPr>
        <b val="true"/>
        <sz val="10.5"/>
        <color rgb="FF1F3864"/>
        <rFont val="Noto Sans CJK SC"/>
        <family val="2"/>
      </rPr>
      <t xml:space="preserve">）　│　</t>
    </r>
    <r>
      <rPr>
        <b val="true"/>
        <sz val="10.5"/>
        <color rgb="FF1F3864"/>
        <rFont val="KaiTi"/>
        <family val="0"/>
        <charset val="1"/>
      </rPr>
      <t xml:space="preserve">M </t>
    </r>
    <r>
      <rPr>
        <b val="true"/>
        <sz val="10.5"/>
        <color rgb="FF1F3864"/>
        <rFont val="Noto Sans CJK SC"/>
        <family val="2"/>
      </rPr>
      <t xml:space="preserve">常见死法</t>
    </r>
  </si>
  <si>
    <r>
      <rPr>
        <sz val="8.5"/>
        <color rgb="FF7F7F7F"/>
        <rFont val="KaiTi"/>
        <family val="0"/>
        <charset val="1"/>
      </rPr>
      <t xml:space="preserve">M </t>
    </r>
    <r>
      <rPr>
        <sz val="8.5"/>
        <color rgb="FF7F7F7F"/>
        <rFont val="Noto Sans CJK SC"/>
        <family val="2"/>
      </rPr>
      <t xml:space="preserve">常见死法</t>
    </r>
  </si>
  <si>
    <t xml:space="preserve">用长期逻辑给短期头寸辩护——「虽然跌了但长期逻辑没变」</t>
  </si>
  <si>
    <t xml:space="preserve">算准了基本面，但市场早已算准，且仓位已满</t>
  </si>
  <si>
    <r>
      <rPr>
        <sz val="9"/>
        <color rgb="FF0000FF"/>
        <rFont val="Noto Sans CJK SC"/>
        <family val="2"/>
      </rPr>
      <t xml:space="preserve">超了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却没超</t>
    </r>
    <r>
      <rPr>
        <sz val="9"/>
        <color rgb="FF0000FF"/>
        <rFont val="KaiTi"/>
        <family val="0"/>
        <charset val="1"/>
      </rPr>
      <t xml:space="preserve">whisper/</t>
    </r>
    <r>
      <rPr>
        <sz val="9"/>
        <color rgb="FF0000FF"/>
        <rFont val="Noto Sans CJK SC"/>
        <family val="2"/>
      </rPr>
      <t xml:space="preserve">期权隐含，超预期反而跌</t>
    </r>
  </si>
  <si>
    <t xml:space="preserve">事件延期后不离场，转而用中期逻辑继续持有（期限漂移）</t>
  </si>
  <si>
    <t xml:space="preserve">忽略建仓天数与滑点，理论收益被冲击成本吃光</t>
  </si>
  <si>
    <r>
      <rPr>
        <b val="true"/>
        <sz val="13"/>
        <color rgb="FF1F3864"/>
        <rFont val="Noto Sans CJK SC"/>
        <family val="2"/>
      </rPr>
      <t xml:space="preserve">作战清单 </t>
    </r>
    <r>
      <rPr>
        <b val="true"/>
        <sz val="13"/>
        <color rgb="FF1F3864"/>
        <rFont val="KaiTi"/>
        <family val="0"/>
        <charset val="1"/>
      </rPr>
      <t xml:space="preserve">· 12 </t>
    </r>
    <r>
      <rPr>
        <b val="true"/>
        <sz val="13"/>
        <color rgb="FF1F3864"/>
        <rFont val="Noto Sans CJK SC"/>
        <family val="2"/>
      </rPr>
      <t xml:space="preserve">研究类型 </t>
    </r>
    <r>
      <rPr>
        <b val="true"/>
        <sz val="13"/>
        <color rgb="FF1F3864"/>
        <rFont val="KaiTi"/>
        <family val="0"/>
        <charset val="1"/>
      </rPr>
      <t xml:space="preserve">× 3 </t>
    </r>
    <r>
      <rPr>
        <b val="true"/>
        <sz val="13"/>
        <color rgb="FF1F3864"/>
        <rFont val="Noto Sans CJK SC"/>
        <family val="2"/>
      </rPr>
      <t xml:space="preserve">期限 </t>
    </r>
    <r>
      <rPr>
        <b val="true"/>
        <sz val="13"/>
        <color rgb="FF1F3864"/>
        <rFont val="KaiTi"/>
        <family val="0"/>
        <charset val="1"/>
      </rPr>
      <t xml:space="preserve">× </t>
    </r>
    <r>
      <rPr>
        <b val="true"/>
        <sz val="13"/>
        <color rgb="FF1F3864"/>
        <rFont val="Noto Sans CJK SC"/>
        <family val="2"/>
      </rPr>
      <t xml:space="preserve">逐条作业</t>
    </r>
  </si>
  <si>
    <r>
      <rPr>
        <i val="true"/>
        <sz val="9"/>
        <color rgb="FF7F7F7F"/>
        <rFont val="Noto Sans CJK SC"/>
        <family val="2"/>
      </rPr>
      <t xml:space="preserve">联结键 </t>
    </r>
    <r>
      <rPr>
        <i val="true"/>
        <sz val="9"/>
        <color rgb="FF7F7F7F"/>
        <rFont val="KaiTi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层</t>
    </r>
    <r>
      <rPr>
        <i val="true"/>
        <sz val="9"/>
        <color rgb="FF7F7F7F"/>
        <rFont val="KaiTi"/>
        <family val="0"/>
        <charset val="1"/>
      </rPr>
      <t xml:space="preserve">(R/M/f)</t>
    </r>
    <r>
      <rPr>
        <i val="true"/>
        <sz val="9"/>
        <color rgb="FF7F7F7F"/>
        <rFont val="Noto Sans CJK SC"/>
        <family val="2"/>
      </rPr>
      <t xml:space="preserve">：最终权重 </t>
    </r>
    <r>
      <rPr>
        <i val="true"/>
        <sz val="9"/>
        <color rgb="FF7F7F7F"/>
        <rFont val="KaiTi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层权重（黄底）</t>
    </r>
    <r>
      <rPr>
        <i val="true"/>
        <sz val="9"/>
        <color rgb="FF7F7F7F"/>
        <rFont val="KaiTi"/>
        <family val="0"/>
        <charset val="1"/>
      </rPr>
      <t xml:space="preserve">× </t>
    </r>
    <r>
      <rPr>
        <i val="true"/>
        <sz val="9"/>
        <color rgb="FF7F7F7F"/>
        <rFont val="Noto Sans CJK SC"/>
        <family val="2"/>
      </rPr>
      <t xml:space="preserve">层内权重（黄底）。同一个研究方法在三个期限下的作业内容完全不同——这是本表的核心。改黄底格，下方 </t>
    </r>
    <r>
      <rPr>
        <i val="true"/>
        <sz val="9"/>
        <color rgb="FF7F7F7F"/>
        <rFont val="KaiTi"/>
        <family val="0"/>
        <charset val="1"/>
      </rPr>
      <t xml:space="preserve">180 </t>
    </r>
    <r>
      <rPr>
        <i val="true"/>
        <sz val="9"/>
        <color rgb="FF7F7F7F"/>
        <rFont val="Noto Sans CJK SC"/>
        <family val="2"/>
      </rPr>
      <t xml:space="preserve">行权重与优先级全部联动。</t>
    </r>
  </si>
  <si>
    <r>
      <rPr>
        <b val="true"/>
        <sz val="10.5"/>
        <color rgb="FF1F3864"/>
        <rFont val="Noto Sans CJK SC"/>
        <family val="2"/>
      </rPr>
      <t xml:space="preserve">参数区 </t>
    </r>
    <r>
      <rPr>
        <b val="true"/>
        <sz val="10.5"/>
        <color rgb="FF1F3864"/>
        <rFont val="KaiTi"/>
        <family val="0"/>
        <charset val="1"/>
      </rPr>
      <t xml:space="preserve">A · R : M : f </t>
    </r>
    <r>
      <rPr>
        <b val="true"/>
        <sz val="10.5"/>
        <color rgb="FF1F3864"/>
        <rFont val="Noto Sans CJK SC"/>
        <family val="2"/>
      </rPr>
      <t xml:space="preserve">层权重（</t>
    </r>
    <r>
      <rPr>
        <b val="true"/>
        <sz val="10.5"/>
        <color rgb="FF1F3864"/>
        <rFont val="KaiTi"/>
        <family val="0"/>
        <charset val="1"/>
      </rPr>
      <t xml:space="preserve">%</t>
    </r>
    <r>
      <rPr>
        <b val="true"/>
        <sz val="10.5"/>
        <color rgb="FF1F3864"/>
        <rFont val="Noto Sans CJK SC"/>
        <family val="2"/>
      </rPr>
      <t xml:space="preserve">）——总开关</t>
    </r>
  </si>
  <si>
    <t xml:space="preserve">层</t>
  </si>
  <si>
    <t xml:space="preserve">含义</t>
  </si>
  <si>
    <r>
      <rPr>
        <b val="true"/>
        <sz val="9.5"/>
        <color rgb="FFFFFFFF"/>
        <rFont val="Noto Sans CJK SC"/>
        <family val="2"/>
      </rPr>
      <t xml:space="preserve">长期（</t>
    </r>
    <r>
      <rPr>
        <b val="true"/>
        <sz val="9.5"/>
        <color rgb="FFFFFFFF"/>
        <rFont val="KaiTi"/>
        <family val="0"/>
        <charset val="1"/>
      </rPr>
      <t xml:space="preserve">3–5y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</si>
  <si>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中期（</t>
    </r>
    <r>
      <rPr>
        <b val="true"/>
        <sz val="9.5"/>
        <color rgb="FFFFFFFF"/>
        <rFont val="KaiTi"/>
        <family val="0"/>
        <charset val="1"/>
      </rPr>
      <t xml:space="preserve">3–6Q</t>
    </r>
    <r>
      <rPr>
        <b val="true"/>
        <sz val="9.5"/>
        <color rgb="FFFFFFFF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</si>
  <si>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短期（≤</t>
    </r>
    <r>
      <rPr>
        <b val="true"/>
        <sz val="9.5"/>
        <color rgb="FFFFFFFF"/>
        <rFont val="KaiTi"/>
        <family val="0"/>
        <charset val="1"/>
      </rPr>
      <t xml:space="preserve">1Q</t>
    </r>
    <r>
      <rPr>
        <b val="true"/>
        <sz val="9.5"/>
        <color rgb="FFFFFFFF"/>
        <rFont val="Noto Sans CJK SC"/>
        <family val="2"/>
      </rPr>
      <t xml:space="preserve">）</t>
    </r>
  </si>
  <si>
    <t xml:space="preserve">R</t>
  </si>
  <si>
    <t xml:space="preserve">现实层｜世界是什么样</t>
  </si>
  <si>
    <t xml:space="preserve">M</t>
  </si>
  <si>
    <t xml:space="preserve">信念层｜市场信什么</t>
  </si>
  <si>
    <t xml:space="preserve">f</t>
  </si>
  <si>
    <t xml:space="preserve">传导层｜现实如何变成价格</t>
  </si>
  <si>
    <r>
      <rPr>
        <b val="true"/>
        <sz val="8.5"/>
        <color rgb="FF000000"/>
        <rFont val="Noto Sans CJK SC"/>
        <family val="2"/>
      </rPr>
      <t xml:space="preserve">合计（须 </t>
    </r>
    <r>
      <rPr>
        <b val="true"/>
        <sz val="8.5"/>
        <color rgb="FF000000"/>
        <rFont val="KaiTi"/>
        <family val="0"/>
        <charset val="1"/>
      </rPr>
      <t xml:space="preserve">= 100</t>
    </r>
    <r>
      <rPr>
        <b val="true"/>
        <sz val="8.5"/>
        <color rgb="FF000000"/>
        <rFont val="Noto Sans CJK SC"/>
        <family val="2"/>
      </rPr>
      <t xml:space="preserve">）</t>
    </r>
  </si>
  <si>
    <r>
      <rPr>
        <b val="true"/>
        <sz val="10.5"/>
        <color rgb="FF1F3864"/>
        <rFont val="Noto Sans CJK SC"/>
        <family val="2"/>
      </rPr>
      <t xml:space="preserve">参数区 </t>
    </r>
    <r>
      <rPr>
        <b val="true"/>
        <sz val="10.5"/>
        <color rgb="FF1F3864"/>
        <rFont val="KaiTi"/>
        <family val="0"/>
        <charset val="1"/>
      </rPr>
      <t xml:space="preserve">B · 12 </t>
    </r>
    <r>
      <rPr>
        <b val="true"/>
        <sz val="10.5"/>
        <color rgb="FF1F3864"/>
        <rFont val="Noto Sans CJK SC"/>
        <family val="2"/>
      </rPr>
      <t xml:space="preserve">研究类型主数据｜层内权重（黄底）→ 最终权重（公式）</t>
    </r>
  </si>
  <si>
    <t xml:space="preserve">编号</t>
  </si>
  <si>
    <t xml:space="preserve">研究类型</t>
  </si>
  <si>
    <t xml:space="preserve">核心产物</t>
  </si>
  <si>
    <t xml:space="preserve">什么时候失效</t>
  </si>
  <si>
    <r>
      <rPr>
        <b val="true"/>
        <sz val="9.5"/>
        <color rgb="FFFFFFFF"/>
        <rFont val="Noto Sans CJK SC"/>
        <family val="2"/>
      </rPr>
      <t xml:space="preserve">对应 </t>
    </r>
    <r>
      <rPr>
        <b val="true"/>
        <sz val="9.5"/>
        <color rgb="FFFFFFFF"/>
        <rFont val="KaiTi"/>
        <family val="0"/>
        <charset val="1"/>
      </rPr>
      <t xml:space="preserve">skill</t>
    </r>
  </si>
  <si>
    <t xml:space="preserve">主要数据源</t>
  </si>
  <si>
    <r>
      <rPr>
        <b val="true"/>
        <sz val="9"/>
        <color rgb="FFFFFFFF"/>
        <rFont val="Noto Sans CJK SC"/>
        <family val="2"/>
      </rPr>
      <t xml:space="preserve">层内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长期</t>
    </r>
  </si>
  <si>
    <r>
      <rPr>
        <b val="true"/>
        <sz val="9"/>
        <color rgb="FFFFFFFF"/>
        <rFont val="Noto Sans CJK SC"/>
        <family val="2"/>
      </rPr>
      <t xml:space="preserve">层内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中期</t>
    </r>
  </si>
  <si>
    <r>
      <rPr>
        <b val="true"/>
        <sz val="9"/>
        <color rgb="FFFFFFFF"/>
        <rFont val="Noto Sans CJK SC"/>
        <family val="2"/>
      </rPr>
      <t xml:space="preserve">层内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短期</t>
    </r>
  </si>
  <si>
    <r>
      <rPr>
        <b val="true"/>
        <sz val="9"/>
        <color rgb="FFFFFFFF"/>
        <rFont val="Noto Sans CJK SC"/>
        <family val="2"/>
      </rPr>
      <t xml:space="preserve">最终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长期</t>
    </r>
  </si>
  <si>
    <r>
      <rPr>
        <b val="true"/>
        <sz val="9"/>
        <color rgb="FFFFFFFF"/>
        <rFont val="Noto Sans CJK SC"/>
        <family val="2"/>
      </rPr>
      <t xml:space="preserve">最终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中期</t>
    </r>
  </si>
  <si>
    <r>
      <rPr>
        <b val="true"/>
        <sz val="9"/>
        <color rgb="FFFFFFFF"/>
        <rFont val="Noto Sans CJK SC"/>
        <family val="2"/>
      </rPr>
      <t xml:space="preserve">最终</t>
    </r>
    <r>
      <rPr>
        <b val="true"/>
        <sz val="9"/>
        <color rgb="FFFFFFFF"/>
        <rFont val="KaiTi"/>
        <family val="0"/>
        <charset val="1"/>
      </rPr>
      <t xml:space="preserve">% </t>
    </r>
    <r>
      <rPr>
        <b val="true"/>
        <sz val="9"/>
        <color rgb="FFFFFFFF"/>
        <rFont val="Noto Sans CJK SC"/>
        <family val="2"/>
      </rPr>
      <t xml:space="preserve">短期</t>
    </r>
  </si>
  <si>
    <t xml:space="preserve">①</t>
  </si>
  <si>
    <r>
      <rPr>
        <b val="true"/>
        <sz val="9"/>
        <color rgb="FF000000"/>
        <rFont val="Noto Sans CJK SC"/>
        <family val="2"/>
      </rPr>
      <t xml:space="preserve">产业链</t>
    </r>
    <r>
      <rPr>
        <b val="true"/>
        <sz val="9"/>
        <color rgb="FF000000"/>
        <rFont val="KaiTi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行业研究</t>
    </r>
  </si>
  <si>
    <r>
      <rPr>
        <sz val="8.5"/>
        <color rgb="FF0000FF"/>
        <rFont val="Noto Sans CJK SC"/>
        <family val="2"/>
      </rPr>
      <t xml:space="preserve">环节利润分配、瓶颈、标的</t>
    </r>
    <r>
      <rPr>
        <sz val="8.5"/>
        <color rgb="FF0000FF"/>
        <rFont val="KaiTi"/>
        <family val="0"/>
        <charset val="1"/>
      </rPr>
      <t xml:space="preserve">mapping</t>
    </r>
  </si>
  <si>
    <t xml:space="preserve">链条稳定期，边际信息为零</t>
  </si>
  <si>
    <t xml:space="preserve">supply-chain-mapper · demand-decoder(P2) · supply-decoder(P3) · chokepoint-screener · industry-tam-research</t>
  </si>
  <si>
    <r>
      <rPr>
        <sz val="8"/>
        <color rgb="FF000000"/>
        <rFont val="KaiTi"/>
        <family val="0"/>
        <charset val="1"/>
      </rPr>
      <t xml:space="preserve">Comein / iFind / </t>
    </r>
    <r>
      <rPr>
        <sz val="8"/>
        <color rgb="FF000000"/>
        <rFont val="Noto Sans CJK SC"/>
        <family val="2"/>
      </rPr>
      <t xml:space="preserve">行业协会</t>
    </r>
  </si>
  <si>
    <t xml:space="preserve">②</t>
  </si>
  <si>
    <t xml:space="preserve">公司基本面深度</t>
  </si>
  <si>
    <r>
      <rPr>
        <sz val="8.5"/>
        <color rgb="FF0000FF"/>
        <rFont val="Noto Sans CJK SC"/>
        <family val="2"/>
      </rPr>
      <t xml:space="preserve">量</t>
    </r>
    <r>
      <rPr>
        <sz val="8.5"/>
        <color rgb="FF0000FF"/>
        <rFont val="KaiTi"/>
        <family val="0"/>
        <charset val="1"/>
      </rPr>
      <t xml:space="preserve">×</t>
    </r>
    <r>
      <rPr>
        <sz val="8.5"/>
        <color rgb="FF0000FF"/>
        <rFont val="Noto Sans CJK SC"/>
        <family val="2"/>
      </rPr>
      <t xml:space="preserve">价</t>
    </r>
    <r>
      <rPr>
        <sz val="8.5"/>
        <color rgb="FF0000FF"/>
        <rFont val="KaiTi"/>
        <family val="0"/>
        <charset val="1"/>
      </rPr>
      <t xml:space="preserve">×</t>
    </r>
    <r>
      <rPr>
        <sz val="8.5"/>
        <color rgb="FF0000FF"/>
        <rFont val="Noto Sans CJK SC"/>
        <family val="2"/>
      </rPr>
      <t xml:space="preserve">利润率的因果链</t>
    </r>
  </si>
  <si>
    <t xml:space="preserve">商业模式被技术颠覆时</t>
  </si>
  <si>
    <t xml:space="preserve">buyside-model-builder · product-qp-modeler · qpm-bmb-link · equity-onepager-interactive</t>
  </si>
  <si>
    <r>
      <rPr>
        <sz val="8"/>
        <color rgb="FF000000"/>
        <rFont val="KaiTi"/>
        <family val="0"/>
        <charset val="1"/>
      </rPr>
      <t xml:space="preserve">iFind / EDGAR / </t>
    </r>
    <r>
      <rPr>
        <sz val="8"/>
        <color rgb="FF000000"/>
        <rFont val="Noto Sans CJK SC"/>
        <family val="2"/>
      </rPr>
      <t xml:space="preserve">进门</t>
    </r>
    <r>
      <rPr>
        <sz val="8"/>
        <color rgb="FF000000"/>
        <rFont val="KaiTi"/>
        <family val="0"/>
        <charset val="1"/>
      </rPr>
      <t xml:space="preserve">API</t>
    </r>
  </si>
  <si>
    <t xml:space="preserve">③</t>
  </si>
  <si>
    <t xml:space="preserve">技术第一性原理</t>
  </si>
  <si>
    <r>
      <rPr>
        <sz val="8.5"/>
        <color rgb="FF0000FF"/>
        <rFont val="Noto Sans CJK SC"/>
        <family val="2"/>
      </rPr>
      <t xml:space="preserve">物理约束、</t>
    </r>
    <r>
      <rPr>
        <sz val="8.5"/>
        <color rgb="FF0000FF"/>
        <rFont val="KaiTi"/>
        <family val="0"/>
        <charset val="1"/>
      </rPr>
      <t xml:space="preserve">BOM</t>
    </r>
    <r>
      <rPr>
        <sz val="8.5"/>
        <color rgb="FF0000FF"/>
        <rFont val="Noto Sans CJK SC"/>
        <family val="2"/>
      </rPr>
      <t xml:space="preserve">、路线判定</t>
    </r>
  </si>
  <si>
    <t xml:space="preserve">技术已成熟固化</t>
  </si>
  <si>
    <t xml:space="preserve">tech-species-primer(P0)</t>
  </si>
  <si>
    <r>
      <rPr>
        <sz val="8"/>
        <color rgb="FF000000"/>
        <rFont val="Noto Sans CJK SC"/>
        <family val="2"/>
      </rPr>
      <t xml:space="preserve">论文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专利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技术白皮书</t>
    </r>
  </si>
  <si>
    <t xml:space="preserve">④</t>
  </si>
  <si>
    <t xml:space="preserve">一手渠道调研</t>
  </si>
  <si>
    <r>
      <rPr>
        <sz val="8.5"/>
        <color rgb="FF0000FF"/>
        <rFont val="Noto Sans CJK SC"/>
        <family val="2"/>
      </rPr>
      <t xml:space="preserve">领先官方</t>
    </r>
    <r>
      <rPr>
        <sz val="8.5"/>
        <color rgb="FF0000FF"/>
        <rFont val="KaiTi"/>
        <family val="0"/>
        <charset val="1"/>
      </rPr>
      <t xml:space="preserve">1–2</t>
    </r>
    <r>
      <rPr>
        <sz val="8.5"/>
        <color rgb="FF0000FF"/>
        <rFont val="Noto Sans CJK SC"/>
        <family val="2"/>
      </rPr>
      <t xml:space="preserve">季的实时读数</t>
    </r>
  </si>
  <si>
    <t xml:space="preserve">样本偏差、专家被喂话</t>
  </si>
  <si>
    <t xml:space="preserve">research-digest · insight-auto-collector · pm-intelligence-router</t>
  </si>
  <si>
    <r>
      <rPr>
        <sz val="8"/>
        <color rgb="FF000000"/>
        <rFont val="KaiTi"/>
        <family val="0"/>
        <charset val="1"/>
      </rPr>
      <t xml:space="preserve">Comein</t>
    </r>
    <r>
      <rPr>
        <sz val="8"/>
        <color rgb="FF000000"/>
        <rFont val="Noto Sans CJK SC"/>
        <family val="2"/>
      </rPr>
      <t xml:space="preserve">专家</t>
    </r>
    <r>
      <rPr>
        <sz val="8"/>
        <color rgb="FF000000"/>
        <rFont val="KaiTi"/>
        <family val="0"/>
        <charset val="1"/>
      </rPr>
      <t xml:space="preserve">call / </t>
    </r>
    <r>
      <rPr>
        <sz val="8"/>
        <color rgb="FF000000"/>
        <rFont val="Noto Sans CJK SC"/>
        <family val="2"/>
      </rPr>
      <t xml:space="preserve">经销商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替代数据</t>
    </r>
  </si>
  <si>
    <t xml:space="preserve">⑤</t>
  </si>
  <si>
    <t xml:space="preserve">人与治理</t>
  </si>
  <si>
    <t xml:space="preserve">谁真控制资源、钱怎么花</t>
  </si>
  <si>
    <t xml:space="preserve">分散股权的成熟公司</t>
  </si>
  <si>
    <t xml:space="preserve">dd-fast-qcc</t>
  </si>
  <si>
    <r>
      <rPr>
        <sz val="8"/>
        <color rgb="FF000000"/>
        <rFont val="Noto Sans CJK SC"/>
        <family val="2"/>
      </rPr>
      <t xml:space="preserve">企查查</t>
    </r>
    <r>
      <rPr>
        <sz val="8"/>
        <color rgb="FF000000"/>
        <rFont val="KaiTi"/>
        <family val="0"/>
        <charset val="1"/>
      </rPr>
      <t xml:space="preserve">QCC / </t>
    </r>
    <r>
      <rPr>
        <sz val="8"/>
        <color rgb="FF000000"/>
        <rFont val="Noto Sans CJK SC"/>
        <family val="2"/>
      </rPr>
      <t xml:space="preserve">公告</t>
    </r>
  </si>
  <si>
    <t xml:space="preserve">⑥</t>
  </si>
  <si>
    <t xml:space="preserve">市场预期解构</t>
  </si>
  <si>
    <r>
      <rPr>
        <sz val="8.5"/>
        <color rgb="FF0000FF"/>
        <rFont val="KaiTi"/>
        <family val="0"/>
        <charset val="1"/>
      </rPr>
      <t xml:space="preserve">implied earnings / </t>
    </r>
    <r>
      <rPr>
        <sz val="8.5"/>
        <color rgb="FF0000FF"/>
        <rFont val="Noto Sans CJK SC"/>
        <family val="2"/>
      </rPr>
      <t xml:space="preserve">哪条假设最脆弱</t>
    </r>
  </si>
  <si>
    <r>
      <rPr>
        <sz val="8.5"/>
        <color rgb="FF000000"/>
        <rFont val="Noto Sans CJK SC"/>
        <family val="2"/>
      </rPr>
      <t xml:space="preserve">无锚标的（亏损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故事股）</t>
    </r>
  </si>
  <si>
    <t xml:space="preserve">valuation-paradigm-decoder · sotp-baseline</t>
  </si>
  <si>
    <r>
      <rPr>
        <sz val="8"/>
        <color rgb="FF000000"/>
        <rFont val="KaiTi"/>
        <family val="0"/>
        <charset val="1"/>
      </rPr>
      <t xml:space="preserve">iFind</t>
    </r>
    <r>
      <rPr>
        <sz val="8"/>
        <color rgb="FF000000"/>
        <rFont val="Noto Sans CJK SC"/>
        <family val="2"/>
      </rPr>
      <t xml:space="preserve">市值 </t>
    </r>
    <r>
      <rPr>
        <sz val="8"/>
        <color rgb="FF000000"/>
        <rFont val="KaiTi"/>
        <family val="0"/>
        <charset val="1"/>
      </rPr>
      <t xml:space="preserve">+ AlphaPai</t>
    </r>
  </si>
  <si>
    <t xml:space="preserve">⑦</t>
  </si>
  <si>
    <t xml:space="preserve">卖方共识漂移追踪</t>
  </si>
  <si>
    <r>
      <rPr>
        <sz val="8.5"/>
        <color rgb="FF0000FF"/>
        <rFont val="KaiTi"/>
        <family val="0"/>
        <charset val="1"/>
      </rPr>
      <t xml:space="preserve">consensus</t>
    </r>
    <r>
      <rPr>
        <sz val="8.5"/>
        <color rgb="FF0000FF"/>
        <rFont val="Noto Sans CJK SC"/>
        <family val="2"/>
      </rPr>
      <t xml:space="preserve">上下调形态、覆盖密度</t>
    </r>
  </si>
  <si>
    <r>
      <rPr>
        <sz val="8.5"/>
        <color rgb="FF000000"/>
        <rFont val="Noto Sans CJK SC"/>
        <family val="2"/>
      </rPr>
      <t xml:space="preserve">覆盖少于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家</t>
    </r>
  </si>
  <si>
    <t xml:space="preserve">sotp-baseline(S5+) · sellside-model-decoder · equity-onepager-interactive</t>
  </si>
  <si>
    <t xml:space="preserve">FMP / AlphaPai / Comein</t>
  </si>
  <si>
    <t xml:space="preserve">⑧</t>
  </si>
  <si>
    <t xml:space="preserve">叙事扫描</t>
  </si>
  <si>
    <r>
      <rPr>
        <sz val="8.5"/>
        <color rgb="FF0000FF"/>
        <rFont val="KaiTi"/>
        <family val="0"/>
        <charset val="1"/>
      </rPr>
      <t xml:space="preserve">active / ignored / priced-out </t>
    </r>
    <r>
      <rPr>
        <sz val="8.5"/>
        <color rgb="FF0000FF"/>
        <rFont val="Noto Sans CJK SC"/>
        <family val="2"/>
      </rPr>
      <t xml:space="preserve">叙事</t>
    </r>
  </si>
  <si>
    <t xml:space="preserve">无叙事的价值股</t>
  </si>
  <si>
    <t xml:space="preserve">digital-oracle(narrative scan) · macro-global-monthly</t>
  </si>
  <si>
    <r>
      <rPr>
        <sz val="8"/>
        <color rgb="FF000000"/>
        <rFont val="Noto Sans CJK SC"/>
        <family val="2"/>
      </rPr>
      <t xml:space="preserve">舆情 </t>
    </r>
    <r>
      <rPr>
        <sz val="8"/>
        <color rgb="FF000000"/>
        <rFont val="KaiTi"/>
        <family val="0"/>
        <charset val="1"/>
      </rPr>
      <t xml:space="preserve">/ Polymarket / </t>
    </r>
    <r>
      <rPr>
        <sz val="8"/>
        <color rgb="FF000000"/>
        <rFont val="Noto Sans CJK SC"/>
        <family val="2"/>
      </rPr>
      <t xml:space="preserve">资产价格</t>
    </r>
  </si>
  <si>
    <t xml:space="preserve">⑨</t>
  </si>
  <si>
    <t xml:space="preserve">筹码与仓位</t>
  </si>
  <si>
    <t xml:space="preserve">拥挤度、解禁、指数纳入、持仓集中度</t>
  </si>
  <si>
    <t xml:space="preserve">流动性极差标的</t>
  </si>
  <si>
    <r>
      <rPr>
        <sz val="7.5"/>
        <color rgb="FF7F7F7F"/>
        <rFont val="KaiTi"/>
        <family val="0"/>
        <charset val="1"/>
      </rPr>
      <t xml:space="preserve">equity-onepager-interactive(</t>
    </r>
    <r>
      <rPr>
        <sz val="7.5"/>
        <color rgb="FF7F7F7F"/>
        <rFont val="Noto Sans CJK SC"/>
        <family val="2"/>
      </rPr>
      <t xml:space="preserve">筹码龄</t>
    </r>
    <r>
      <rPr>
        <sz val="7.5"/>
        <color rgb="FF7F7F7F"/>
        <rFont val="KaiTi"/>
        <family val="0"/>
        <charset val="1"/>
      </rPr>
      <t xml:space="preserve">) · digital-oracle · kline-reviewer</t>
    </r>
  </si>
  <si>
    <r>
      <rPr>
        <sz val="8"/>
        <color rgb="FF000000"/>
        <rFont val="KaiTi"/>
        <family val="0"/>
        <charset val="1"/>
      </rPr>
      <t xml:space="preserve">iFind</t>
    </r>
    <r>
      <rPr>
        <sz val="8"/>
        <color rgb="FF000000"/>
        <rFont val="Noto Sans CJK SC"/>
        <family val="2"/>
      </rPr>
      <t xml:space="preserve">筹码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同花顺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龙虎榜</t>
    </r>
  </si>
  <si>
    <t xml:space="preserve">⑩</t>
  </si>
  <si>
    <r>
      <rPr>
        <b val="true"/>
        <sz val="9"/>
        <color rgb="FF000000"/>
        <rFont val="Noto Sans CJK SC"/>
        <family val="2"/>
      </rPr>
      <t xml:space="preserve">历史复盘 </t>
    </r>
    <r>
      <rPr>
        <b val="true"/>
        <sz val="9"/>
        <color rgb="FF000000"/>
        <rFont val="KaiTi"/>
        <family val="0"/>
        <charset val="1"/>
      </rPr>
      <t xml:space="preserve">/ base rate</t>
    </r>
  </si>
  <si>
    <t xml:space="preserve">条件概率、这类事平均涨几个月</t>
  </si>
  <si>
    <r>
      <rPr>
        <sz val="8.5"/>
        <color rgb="FF000000"/>
        <rFont val="KaiTi"/>
        <family val="0"/>
        <charset val="1"/>
      </rPr>
      <t xml:space="preserve">Regime</t>
    </r>
    <r>
      <rPr>
        <sz val="8.5"/>
        <color rgb="FF000000"/>
        <rFont val="Noto Sans CJK SC"/>
        <family val="2"/>
      </rPr>
      <t xml:space="preserve">切换后样本失效</t>
    </r>
  </si>
  <si>
    <r>
      <rPr>
        <sz val="7.5"/>
        <color rgb="FF7F7F7F"/>
        <rFont val="KaiTi"/>
        <family val="0"/>
        <charset val="1"/>
      </rPr>
      <t xml:space="preserve">stock-catalyst-review · digital-oracle(</t>
    </r>
    <r>
      <rPr>
        <sz val="7.5"/>
        <color rgb="FF7F7F7F"/>
        <rFont val="Noto Sans CJK SC"/>
        <family val="2"/>
      </rPr>
      <t xml:space="preserve">历史类比</t>
    </r>
    <r>
      <rPr>
        <sz val="7.5"/>
        <color rgb="FF7F7F7F"/>
        <rFont val="KaiTi"/>
        <family val="0"/>
        <charset val="1"/>
      </rPr>
      <t xml:space="preserve">) · alt-conviction-builder</t>
    </r>
  </si>
  <si>
    <r>
      <rPr>
        <sz val="8"/>
        <color rgb="FF000000"/>
        <rFont val="Noto Sans CJK SC"/>
        <family val="2"/>
      </rPr>
      <t xml:space="preserve">历史价格 </t>
    </r>
    <r>
      <rPr>
        <sz val="8"/>
        <color rgb="FF000000"/>
        <rFont val="KaiTi"/>
        <family val="0"/>
        <charset val="1"/>
      </rPr>
      <t xml:space="preserve">/ IBKR / AKShare</t>
    </r>
  </si>
  <si>
    <t xml:space="preserve">⑪</t>
  </si>
  <si>
    <t xml:space="preserve">催化与兑现节奏</t>
  </si>
  <si>
    <r>
      <rPr>
        <sz val="8.5"/>
        <color rgb="FF0000FF"/>
        <rFont val="Noto Sans CJK SC"/>
        <family val="2"/>
      </rPr>
      <t xml:space="preserve">时间轴 </t>
    </r>
    <r>
      <rPr>
        <sz val="8.5"/>
        <color rgb="FF0000FF"/>
        <rFont val="KaiTi"/>
        <family val="0"/>
        <charset val="1"/>
      </rPr>
      <t xml:space="preserve">+ </t>
    </r>
    <r>
      <rPr>
        <sz val="8.5"/>
        <color rgb="FF0000FF"/>
        <rFont val="Noto Sans CJK SC"/>
        <family val="2"/>
      </rPr>
      <t xml:space="preserve">每个节点的预期差</t>
    </r>
  </si>
  <si>
    <t xml:space="preserve">无事件驱动的慢变量</t>
  </si>
  <si>
    <t xml:space="preserve">stock-catalyst-review · catalyst-5m3t-deep-dive · chain-final-analysis(P6)</t>
  </si>
  <si>
    <r>
      <rPr>
        <sz val="8"/>
        <color rgb="FF000000"/>
        <rFont val="Noto Sans CJK SC"/>
        <family val="2"/>
      </rPr>
      <t xml:space="preserve">公司公告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招标网 </t>
    </r>
    <r>
      <rPr>
        <sz val="8"/>
        <color rgb="FF000000"/>
        <rFont val="KaiTi"/>
        <family val="0"/>
        <charset val="1"/>
      </rPr>
      <t xml:space="preserve">/ </t>
    </r>
    <r>
      <rPr>
        <sz val="8"/>
        <color rgb="FF000000"/>
        <rFont val="Noto Sans CJK SC"/>
        <family val="2"/>
      </rPr>
      <t xml:space="preserve">政策日历</t>
    </r>
  </si>
  <si>
    <t xml:space="preserve">⑫</t>
  </si>
  <si>
    <r>
      <rPr>
        <b val="true"/>
        <sz val="9"/>
        <color rgb="FF000000"/>
        <rFont val="Noto Sans CJK SC"/>
        <family val="2"/>
      </rPr>
      <t xml:space="preserve">跨市场</t>
    </r>
    <r>
      <rPr>
        <b val="true"/>
        <sz val="9"/>
        <color rgb="FF000000"/>
        <rFont val="KaiTi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跨资产领先滞后</t>
    </r>
  </si>
  <si>
    <t xml:space="preserve">海外锚、商品→股价传导时滞</t>
  </si>
  <si>
    <t xml:space="preserve">相关性历史上不稳定</t>
  </si>
  <si>
    <t xml:space="preserve">alt-conviction-builder · digital-oracle · weekly-stock-review</t>
  </si>
  <si>
    <r>
      <rPr>
        <sz val="8"/>
        <color rgb="FF000000"/>
        <rFont val="KaiTi"/>
        <family val="0"/>
        <charset val="1"/>
      </rPr>
      <t xml:space="preserve">Yahoo / Binance / </t>
    </r>
    <r>
      <rPr>
        <sz val="8"/>
        <color rgb="FF000000"/>
        <rFont val="Noto Sans CJK SC"/>
        <family val="2"/>
      </rPr>
      <t xml:space="preserve">商品期货</t>
    </r>
  </si>
  <si>
    <r>
      <rPr>
        <b val="true"/>
        <sz val="8.5"/>
        <color rgb="FF000000"/>
        <rFont val="Noto Sans CJK SC"/>
        <family val="2"/>
      </rPr>
      <t xml:space="preserve">合计（各列须 </t>
    </r>
    <r>
      <rPr>
        <b val="true"/>
        <sz val="8.5"/>
        <color rgb="FF000000"/>
        <rFont val="KaiTi"/>
        <family val="0"/>
        <charset val="1"/>
      </rPr>
      <t xml:space="preserve">= 100</t>
    </r>
    <r>
      <rPr>
        <b val="true"/>
        <sz val="8.5"/>
        <color rgb="FF000000"/>
        <rFont val="Noto Sans CJK SC"/>
        <family val="2"/>
      </rPr>
      <t xml:space="preserve">）</t>
    </r>
  </si>
  <si>
    <r>
      <rPr>
        <b val="true"/>
        <sz val="8.5"/>
        <color rgb="FF000000"/>
        <rFont val="KaiTi"/>
        <family val="0"/>
        <charset val="1"/>
      </rPr>
      <t xml:space="preserve">R/M/f </t>
    </r>
    <r>
      <rPr>
        <b val="true"/>
        <sz val="8.5"/>
        <color rgb="FF000000"/>
        <rFont val="Noto Sans CJK SC"/>
        <family val="2"/>
      </rPr>
      <t xml:space="preserve">层内合计校验</t>
    </r>
  </si>
  <si>
    <r>
      <rPr>
        <sz val="8.5"/>
        <color rgb="FF7F7F7F"/>
        <rFont val="Noto Sans CJK SC"/>
        <family val="2"/>
      </rPr>
      <t xml:space="preserve">↑ 每格三段须均为 </t>
    </r>
    <r>
      <rPr>
        <sz val="8.5"/>
        <color rgb="FF7F7F7F"/>
        <rFont val="KaiTi"/>
        <family val="0"/>
        <charset val="1"/>
      </rPr>
      <t xml:space="preserve">100</t>
    </r>
    <r>
      <rPr>
        <sz val="8.5"/>
        <color rgb="FF7F7F7F"/>
        <rFont val="Noto Sans CJK SC"/>
        <family val="2"/>
      </rPr>
      <t xml:space="preserve">（</t>
    </r>
    <r>
      <rPr>
        <sz val="8.5"/>
        <color rgb="FF7F7F7F"/>
        <rFont val="KaiTi"/>
        <family val="0"/>
        <charset val="1"/>
      </rPr>
      <t xml:space="preserve">R / M / f</t>
    </r>
    <r>
      <rPr>
        <sz val="8.5"/>
        <color rgb="FF7F7F7F"/>
        <rFont val="Noto Sans CJK SC"/>
        <family val="2"/>
      </rPr>
      <t xml:space="preserve">）</t>
    </r>
  </si>
  <si>
    <r>
      <rPr>
        <b val="true"/>
        <sz val="10.5"/>
        <color rgb="FF1F3864"/>
        <rFont val="Noto Sans CJK SC"/>
        <family val="2"/>
      </rPr>
      <t xml:space="preserve">作战清单 </t>
    </r>
    <r>
      <rPr>
        <b val="true"/>
        <sz val="10.5"/>
        <color rgb="FF1F3864"/>
        <rFont val="KaiTi"/>
        <family val="0"/>
        <charset val="1"/>
      </rPr>
      <t xml:space="preserve">· </t>
    </r>
    <r>
      <rPr>
        <b val="true"/>
        <sz val="10.5"/>
        <color rgb="FF1F3864"/>
        <rFont val="Noto Sans CJK SC"/>
        <family val="2"/>
      </rPr>
      <t xml:space="preserve">每个方法在每个期限下的逐条作业（权重</t>
    </r>
    <r>
      <rPr>
        <b val="true"/>
        <sz val="10.5"/>
        <color rgb="FF1F3864"/>
        <rFont val="KaiTi"/>
        <family val="0"/>
        <charset val="1"/>
      </rPr>
      <t xml:space="preserve">/</t>
    </r>
    <r>
      <rPr>
        <b val="true"/>
        <sz val="10.5"/>
        <color rgb="FF1F3864"/>
        <rFont val="Noto Sans CJK SC"/>
        <family val="2"/>
      </rPr>
      <t xml:space="preserve">优先级</t>
    </r>
    <r>
      <rPr>
        <b val="true"/>
        <sz val="10.5"/>
        <color rgb="FF1F3864"/>
        <rFont val="KaiTi"/>
        <family val="0"/>
        <charset val="1"/>
      </rPr>
      <t xml:space="preserve">/skill/</t>
    </r>
    <r>
      <rPr>
        <b val="true"/>
        <sz val="10.5"/>
        <color rgb="FF1F3864"/>
        <rFont val="Noto Sans CJK SC"/>
        <family val="2"/>
      </rPr>
      <t xml:space="preserve">失效 全部为公式链接）</t>
    </r>
  </si>
  <si>
    <r>
      <rPr>
        <b val="true"/>
        <sz val="9.5"/>
        <color rgb="FFFFFFFF"/>
        <rFont val="Noto Sans CJK SC"/>
        <family val="2"/>
      </rPr>
      <t xml:space="preserve">权重</t>
    </r>
    <r>
      <rPr>
        <b val="true"/>
        <sz val="9.5"/>
        <color rgb="FFFFFFFF"/>
        <rFont val="KaiTi"/>
        <family val="0"/>
        <charset val="1"/>
      </rPr>
      <t xml:space="preserve">%</t>
    </r>
  </si>
  <si>
    <t xml:space="preserve">优先级</t>
  </si>
  <si>
    <t xml:space="preserve">作业条目（具体动作）</t>
  </si>
  <si>
    <t xml:space="preserve">过关标准（什么算做完了）</t>
  </si>
  <si>
    <t xml:space="preserve">该方法在此期限的失效信号</t>
  </si>
  <si>
    <r>
      <rPr>
        <b val="true"/>
        <sz val="8.5"/>
        <color rgb="FF000000"/>
        <rFont val="Noto Sans CJK SC"/>
        <family val="2"/>
      </rPr>
      <t xml:space="preserve">产业链</t>
    </r>
    <r>
      <rPr>
        <b val="true"/>
        <sz val="8.5"/>
        <color rgb="FF000000"/>
        <rFont val="KaiTi"/>
        <family val="0"/>
        <charset val="1"/>
      </rPr>
      <t xml:space="preserve">/</t>
    </r>
    <r>
      <rPr>
        <b val="true"/>
        <sz val="8.5"/>
        <color rgb="FF000000"/>
        <rFont val="Noto Sans CJK SC"/>
        <family val="2"/>
      </rPr>
      <t xml:space="preserve">行业研究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</si>
  <si>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从终端递归展开到矿物端，标出每一环的</t>
    </r>
    <r>
      <rPr>
        <sz val="9"/>
        <color rgb="FF0000FF"/>
        <rFont val="KaiTi"/>
        <family val="0"/>
        <charset val="1"/>
      </rPr>
      <t xml:space="preserve">OPM</t>
    </r>
    <r>
      <rPr>
        <sz val="9"/>
        <color rgb="FF0000FF"/>
        <rFont val="Noto Sans CJK SC"/>
        <family val="2"/>
      </rPr>
      <t xml:space="preserve">中枢</t>
    </r>
  </si>
  <si>
    <r>
      <rPr>
        <sz val="8.5"/>
        <color rgb="FF000000"/>
        <rFont val="Noto Sans CJK SC"/>
        <family val="2"/>
      </rPr>
      <t xml:space="preserve">每环给出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年平均</t>
    </r>
    <r>
      <rPr>
        <sz val="8.5"/>
        <color rgb="FF000000"/>
        <rFont val="KaiTi"/>
        <family val="0"/>
        <charset val="1"/>
      </rPr>
      <t xml:space="preserve">OPM</t>
    </r>
    <r>
      <rPr>
        <sz val="8.5"/>
        <color rgb="FF000000"/>
        <rFont val="Noto Sans CJK SC"/>
        <family val="2"/>
      </rPr>
      <t xml:space="preserve">与数据来源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</si>
  <si>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对每一环做格局判定（跑</t>
    </r>
    <r>
      <rPr>
        <sz val="9"/>
        <color rgb="FF0000FF"/>
        <rFont val="KaiTi"/>
        <family val="0"/>
        <charset val="1"/>
      </rPr>
      <t xml:space="preserve">03</t>
    </r>
    <r>
      <rPr>
        <sz val="9"/>
        <color rgb="FF0000FF"/>
        <rFont val="Noto Sans CJK SC"/>
        <family val="2"/>
      </rPr>
      <t xml:space="preserve">表问卷），标注五种形态</t>
    </r>
  </si>
  <si>
    <r>
      <rPr>
        <sz val="8.5"/>
        <color rgb="FF000000"/>
        <rFont val="KaiTi"/>
        <family val="0"/>
        <charset val="1"/>
      </rPr>
      <t xml:space="preserve">12</t>
    </r>
    <r>
      <rPr>
        <sz val="8.5"/>
        <color rgb="FF000000"/>
        <rFont val="Noto Sans CJK SC"/>
        <family val="2"/>
      </rPr>
      <t xml:space="preserve">环以内全部有形态标签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</si>
  <si>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画出剩余利润的沉淀位置与迁移方向</t>
    </r>
  </si>
  <si>
    <r>
      <rPr>
        <sz val="8.5"/>
        <color rgb="FF000000"/>
        <rFont val="Noto Sans CJK SC"/>
        <family val="2"/>
      </rPr>
      <t xml:space="preserve">能指名利润未来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年向哪一环迁移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</si>
  <si>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识别结构性瓶颈：物理约束型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暂时紧缺型</t>
    </r>
  </si>
  <si>
    <t xml:space="preserve">二者区分清楚，暂时紧缺不计入长期壁垒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</si>
  <si>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列出每环的可投标的，标注是否为纯正暴露</t>
    </r>
  </si>
  <si>
    <r>
      <rPr>
        <sz val="8.5"/>
        <color rgb="FF000000"/>
        <rFont val="Noto Sans CJK SC"/>
        <family val="2"/>
      </rPr>
      <t xml:space="preserve">纯正度</t>
    </r>
    <r>
      <rPr>
        <sz val="8.5"/>
        <color rgb="FF000000"/>
        <rFont val="KaiTi"/>
        <family val="0"/>
        <charset val="1"/>
      </rPr>
      <t xml:space="preserve">&lt;40%</t>
    </r>
    <r>
      <rPr>
        <sz val="8.5"/>
        <color rgb="FF000000"/>
        <rFont val="Noto Sans CJK SC"/>
        <family val="2"/>
      </rPr>
      <t xml:space="preserve">的标的剔除长期名单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</si>
  <si>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判定商业模式原型，写出可重复收入占比</t>
    </r>
  </si>
  <si>
    <t xml:space="preserve">占比有数据支撑，非估算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</si>
  <si>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拆单位经济</t>
    </r>
    <r>
      <rPr>
        <sz val="9"/>
        <color rgb="FF0000FF"/>
        <rFont val="KaiTi"/>
        <family val="0"/>
        <charset val="1"/>
      </rPr>
      <t xml:space="preserve">UE</t>
    </r>
    <r>
      <rPr>
        <sz val="9"/>
        <color rgb="FF0000FF"/>
        <rFont val="Noto Sans CJK SC"/>
        <family val="2"/>
      </rPr>
      <t xml:space="preserve">：单台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单吨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单</t>
    </r>
    <r>
      <rPr>
        <sz val="9"/>
        <color rgb="FF0000FF"/>
        <rFont val="KaiTi"/>
        <family val="0"/>
        <charset val="1"/>
      </rPr>
      <t xml:space="preserve">GW</t>
    </r>
    <r>
      <rPr>
        <sz val="9"/>
        <color rgb="FF0000FF"/>
        <rFont val="Noto Sans CJK SC"/>
        <family val="2"/>
      </rPr>
      <t xml:space="preserve">的收入</t>
    </r>
    <r>
      <rPr>
        <sz val="9"/>
        <color rgb="FF0000FF"/>
        <rFont val="KaiTi"/>
        <family val="0"/>
        <charset val="1"/>
      </rPr>
      <t xml:space="preserve">-</t>
    </r>
    <r>
      <rPr>
        <sz val="9"/>
        <color rgb="FF0000FF"/>
        <rFont val="Noto Sans CJK SC"/>
        <family val="2"/>
      </rPr>
      <t xml:space="preserve">成本</t>
    </r>
    <r>
      <rPr>
        <sz val="9"/>
        <color rgb="FF0000FF"/>
        <rFont val="KaiTi"/>
        <family val="0"/>
        <charset val="1"/>
      </rPr>
      <t xml:space="preserve">-</t>
    </r>
    <r>
      <rPr>
        <sz val="9"/>
        <color rgb="FF0000FF"/>
        <rFont val="Noto Sans CJK SC"/>
        <family val="2"/>
      </rPr>
      <t xml:space="preserve">贡献利润</t>
    </r>
  </si>
  <si>
    <r>
      <rPr>
        <sz val="8.5"/>
        <color rgb="FF000000"/>
        <rFont val="KaiTi"/>
        <family val="0"/>
        <charset val="1"/>
      </rPr>
      <t xml:space="preserve">UE</t>
    </r>
    <r>
      <rPr>
        <sz val="8.5"/>
        <color rgb="FF000000"/>
        <rFont val="Noto Sans CJK SC"/>
        <family val="2"/>
      </rPr>
      <t xml:space="preserve">表可独立复算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</si>
  <si>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指名规模效应来源，并用毛利率</t>
    </r>
    <r>
      <rPr>
        <sz val="9"/>
        <color rgb="FF0000FF"/>
        <rFont val="KaiTi"/>
        <family val="0"/>
        <charset val="1"/>
      </rPr>
      <t xml:space="preserve">vs</t>
    </r>
    <r>
      <rPr>
        <sz val="9"/>
        <color rgb="FF0000FF"/>
        <rFont val="Noto Sans CJK SC"/>
        <family val="2"/>
      </rPr>
      <t xml:space="preserve">累计产量曲线验证</t>
    </r>
  </si>
  <si>
    <t xml:space="preserve">曲线斜率显著为负才成立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</si>
  <si>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建终局稳态表：稳态年份</t>
    </r>
    <r>
      <rPr>
        <sz val="9"/>
        <color rgb="FF0000FF"/>
        <rFont val="KaiTi"/>
        <family val="0"/>
        <charset val="1"/>
      </rPr>
      <t xml:space="preserve">+</t>
    </r>
    <r>
      <rPr>
        <sz val="9"/>
        <color rgb="FF0000FF"/>
        <rFont val="Noto Sans CJK SC"/>
        <family val="2"/>
      </rPr>
      <t xml:space="preserve">稳态收入</t>
    </r>
    <r>
      <rPr>
        <sz val="9"/>
        <color rgb="FF0000FF"/>
        <rFont val="KaiTi"/>
        <family val="0"/>
        <charset val="1"/>
      </rPr>
      <t xml:space="preserve">+</t>
    </r>
    <r>
      <rPr>
        <sz val="9"/>
        <color rgb="FF0000FF"/>
        <rFont val="Noto Sans CJK SC"/>
        <family val="2"/>
      </rPr>
      <t xml:space="preserve">稳态</t>
    </r>
    <r>
      <rPr>
        <sz val="9"/>
        <color rgb="FF0000FF"/>
        <rFont val="KaiTi"/>
        <family val="0"/>
        <charset val="1"/>
      </rPr>
      <t xml:space="preserve">OPM</t>
    </r>
    <r>
      <rPr>
        <sz val="9"/>
        <color rgb="FF0000FF"/>
        <rFont val="Noto Sans CJK SC"/>
        <family val="2"/>
      </rPr>
      <t xml:space="preserve">三个数</t>
    </r>
  </si>
  <si>
    <r>
      <rPr>
        <sz val="8.5"/>
        <color rgb="FF000000"/>
        <rFont val="Noto Sans CJK SC"/>
        <family val="2"/>
      </rPr>
      <t xml:space="preserve">三个数写死，作为</t>
    </r>
    <r>
      <rPr>
        <sz val="8.5"/>
        <color rgb="FF000000"/>
        <rFont val="KaiTi"/>
        <family val="0"/>
        <charset val="1"/>
      </rPr>
      <t xml:space="preserve">kill criteria</t>
    </r>
    <r>
      <rPr>
        <sz val="8.5"/>
        <color rgb="FF000000"/>
        <rFont val="Noto Sans CJK SC"/>
        <family val="2"/>
      </rPr>
      <t xml:space="preserve">锚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</si>
  <si>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测</t>
    </r>
    <r>
      <rPr>
        <sz val="9"/>
        <color rgb="FF0000FF"/>
        <rFont val="KaiTi"/>
        <family val="0"/>
        <charset val="1"/>
      </rPr>
      <t xml:space="preserve">FCF/</t>
    </r>
    <r>
      <rPr>
        <sz val="9"/>
        <color rgb="FF0000FF"/>
        <rFont val="Noto Sans CJK SC"/>
        <family val="2"/>
      </rPr>
      <t xml:space="preserve">净利润长期中枢，识别现金漏损点</t>
    </r>
  </si>
  <si>
    <r>
      <rPr>
        <sz val="8.5"/>
        <color rgb="FF000000"/>
        <rFont val="Noto Sans CJK SC"/>
        <family val="2"/>
      </rPr>
      <t xml:space="preserve">中枢</t>
    </r>
    <r>
      <rPr>
        <sz val="8.5"/>
        <color rgb="FF000000"/>
        <rFont val="KaiTi"/>
        <family val="0"/>
        <charset val="1"/>
      </rPr>
      <t xml:space="preserve">&lt;60%</t>
    </r>
    <r>
      <rPr>
        <sz val="8.5"/>
        <color rgb="FF000000"/>
        <rFont val="Noto Sans CJK SC"/>
        <family val="2"/>
      </rPr>
      <t xml:space="preserve">须解释原因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</si>
  <si>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算该路线的物理极限（效率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密度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温度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尺寸）</t>
    </r>
  </si>
  <si>
    <t xml:space="preserve">用第一性原理算出，非引用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</si>
  <si>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列出全部替代路线及其成本曲线，求交叉年份</t>
    </r>
  </si>
  <si>
    <r>
      <rPr>
        <sz val="8.5"/>
        <color rgb="FF000000"/>
        <rFont val="Noto Sans CJK SC"/>
        <family val="2"/>
      </rPr>
      <t xml:space="preserve">至少覆盖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条替代路线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</si>
  <si>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判定路线是否收敛：主流路线出货份额是否</t>
    </r>
    <r>
      <rPr>
        <sz val="9"/>
        <color rgb="FF0000FF"/>
        <rFont val="KaiTi"/>
        <family val="0"/>
        <charset val="1"/>
      </rPr>
      <t xml:space="preserve">&gt;70%</t>
    </r>
  </si>
  <si>
    <t xml:space="preserve">给出出货结构数据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</si>
  <si>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评估型号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产线的换代复用率</t>
    </r>
  </si>
  <si>
    <r>
      <rPr>
        <sz val="8.5"/>
        <color rgb="FF000000"/>
        <rFont val="Noto Sans CJK SC"/>
        <family val="2"/>
      </rPr>
      <t xml:space="preserve">复用率</t>
    </r>
    <r>
      <rPr>
        <sz val="8.5"/>
        <color rgb="FF000000"/>
        <rFont val="KaiTi"/>
        <family val="0"/>
        <charset val="1"/>
      </rPr>
      <t xml:space="preserve">&lt;50%</t>
    </r>
    <r>
      <rPr>
        <sz val="8.5"/>
        <color rgb="FF000000"/>
        <rFont val="Noto Sans CJK SC"/>
        <family val="2"/>
      </rPr>
      <t xml:space="preserve">须计入每代重投资本开支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</si>
  <si>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拆</t>
    </r>
    <r>
      <rPr>
        <sz val="9"/>
        <color rgb="FF0000FF"/>
        <rFont val="KaiTi"/>
        <family val="0"/>
        <charset val="1"/>
      </rPr>
      <t xml:space="preserve">BOM</t>
    </r>
    <r>
      <rPr>
        <sz val="9"/>
        <color rgb="FF0000FF"/>
        <rFont val="Noto Sans CJK SC"/>
        <family val="2"/>
      </rPr>
      <t xml:space="preserve">，标出哪些环节是物理必须、哪些可被设计掉</t>
    </r>
  </si>
  <si>
    <t xml:space="preserve">可被设计掉的环节不计入长期壁垒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</si>
  <si>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只问结构性问题：客户是长期锁定还是逐年比价</t>
    </r>
  </si>
  <si>
    <t xml:space="preserve">得到明确答复，含合同期限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</si>
  <si>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问客户切换的实际成本（认证周期、重设计工作量）</t>
    </r>
  </si>
  <si>
    <t xml:space="preserve">量化到月与人天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</si>
  <si>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向上游求证壁垒真伪：二线能否买到同样设备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材料</t>
    </r>
  </si>
  <si>
    <r>
      <rPr>
        <sz val="8.5"/>
        <color rgb="FF000000"/>
        <rFont val="Noto Sans CJK SC"/>
        <family val="2"/>
      </rPr>
      <t xml:space="preserve">能买到</t>
    </r>
    <r>
      <rPr>
        <sz val="8.5"/>
        <color rgb="FF000000"/>
        <rFont val="KaiTi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壁垒不成立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</si>
  <si>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交叉验证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个独立渠道，剔除被喂话的样本</t>
    </r>
  </si>
  <si>
    <t xml:space="preserve">三源同向才采信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</si>
  <si>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明确不取月度读数——长期只取结构性结论</t>
    </r>
  </si>
  <si>
    <t xml:space="preserve">记录中不出现月度数字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</si>
  <si>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拉过去</t>
    </r>
    <r>
      <rPr>
        <sz val="9"/>
        <color rgb="FF0000FF"/>
        <rFont val="KaiTi"/>
        <family val="0"/>
        <charset val="1"/>
      </rPr>
      <t xml:space="preserve">10</t>
    </r>
    <r>
      <rPr>
        <sz val="9"/>
        <color rgb="FF0000FF"/>
        <rFont val="Noto Sans CJK SC"/>
        <family val="2"/>
      </rPr>
      <t xml:space="preserve">年现金流向：累计资本开支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累计</t>
    </r>
    <r>
      <rPr>
        <sz val="9"/>
        <color rgb="FF0000FF"/>
        <rFont val="KaiTi"/>
        <family val="0"/>
        <charset val="1"/>
      </rPr>
      <t xml:space="preserve">ROIC</t>
    </r>
  </si>
  <si>
    <t xml:space="preserve">做出资本配置记分卡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</si>
  <si>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穿透股权与董事会，画出实际控制链</t>
    </r>
  </si>
  <si>
    <t xml:space="preserve">控制链可指名到自然人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</si>
  <si>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查股权激励行权条件：绑</t>
    </r>
    <r>
      <rPr>
        <sz val="9"/>
        <color rgb="FF0000FF"/>
        <rFont val="KaiTi"/>
        <family val="0"/>
        <charset val="1"/>
      </rPr>
      <t xml:space="preserve">ROIC</t>
    </r>
    <r>
      <rPr>
        <sz val="9"/>
        <color rgb="FF0000FF"/>
        <rFont val="Noto Sans CJK SC"/>
        <family val="2"/>
      </rPr>
      <t xml:space="preserve">还是绑收入</t>
    </r>
  </si>
  <si>
    <t xml:space="preserve">绑收入的须标记为价值毁灭风险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</si>
  <si>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算股本</t>
    </r>
    <r>
      <rPr>
        <sz val="9"/>
        <color rgb="FF0000FF"/>
        <rFont val="KaiTi"/>
        <family val="0"/>
        <charset val="1"/>
      </rPr>
      <t xml:space="preserve">CAGR vs </t>
    </r>
    <r>
      <rPr>
        <sz val="9"/>
        <color rgb="FF0000FF"/>
        <rFont val="Noto Sans CJK SC"/>
        <family val="2"/>
      </rPr>
      <t xml:space="preserve">收入</t>
    </r>
    <r>
      <rPr>
        <sz val="9"/>
        <color rgb="FF0000FF"/>
        <rFont val="KaiTi"/>
        <family val="0"/>
        <charset val="1"/>
      </rPr>
      <t xml:space="preserve">CAGR</t>
    </r>
    <r>
      <rPr>
        <sz val="9"/>
        <color rgb="FF0000FF"/>
        <rFont val="Noto Sans CJK SC"/>
        <family val="2"/>
      </rPr>
      <t xml:space="preserve">，评估历史稀释</t>
    </r>
  </si>
  <si>
    <r>
      <rPr>
        <sz val="8.5"/>
        <color rgb="FF000000"/>
        <rFont val="Noto Sans CJK SC"/>
        <family val="2"/>
      </rPr>
      <t xml:space="preserve">前者</t>
    </r>
    <r>
      <rPr>
        <sz val="8.5"/>
        <color rgb="FF000000"/>
        <rFont val="KaiTi"/>
        <family val="0"/>
        <charset val="1"/>
      </rPr>
      <t xml:space="preserve">&gt;</t>
    </r>
    <r>
      <rPr>
        <sz val="8.5"/>
        <color rgb="FF000000"/>
        <rFont val="Noto Sans CJK SC"/>
        <family val="2"/>
      </rPr>
      <t xml:space="preserve">后者即为红旗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</si>
  <si>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排查政商网络与资源获取能力（土地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补贴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许可）</t>
    </r>
  </si>
  <si>
    <t xml:space="preserve">列出可验证的资源事件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</si>
  <si>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反推当前市值隐含的终局收入</t>
    </r>
    <r>
      <rPr>
        <sz val="9"/>
        <color rgb="FF0000FF"/>
        <rFont val="KaiTi"/>
        <family val="0"/>
        <charset val="1"/>
      </rPr>
      <t xml:space="preserve">×OPM×PE</t>
    </r>
  </si>
  <si>
    <t xml:space="preserve">得出隐含年份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</si>
  <si>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对照自建终局表，算隐含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自建 的差距</t>
    </r>
  </si>
  <si>
    <r>
      <rPr>
        <sz val="8.5"/>
        <color rgb="FF000000"/>
        <rFont val="Noto Sans CJK SC"/>
        <family val="2"/>
      </rPr>
      <t xml:space="preserve">差距</t>
    </r>
    <r>
      <rPr>
        <sz val="8.5"/>
        <color rgb="FF000000"/>
        <rFont val="KaiTi"/>
        <family val="0"/>
        <charset val="1"/>
      </rPr>
      <t xml:space="preserve">&gt;50%</t>
    </r>
    <r>
      <rPr>
        <sz val="8.5"/>
        <color rgb="FF000000"/>
        <rFont val="Noto Sans CJK SC"/>
        <family val="2"/>
      </rPr>
      <t xml:space="preserve">须解释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</si>
  <si>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做敏感性，排出最脆弱的两条假设</t>
    </r>
  </si>
  <si>
    <t xml:space="preserve">敏感度排序有数值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</si>
  <si>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算赔率：目标市值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当前市值−</t>
    </r>
    <r>
      <rPr>
        <sz val="9"/>
        <color rgb="FF0000FF"/>
        <rFont val="KaiTi"/>
        <family val="0"/>
        <charset val="1"/>
      </rPr>
      <t xml:space="preserve">1</t>
    </r>
    <r>
      <rPr>
        <sz val="9"/>
        <color rgb="FF0000FF"/>
        <rFont val="Noto Sans CJK SC"/>
        <family val="2"/>
      </rPr>
      <t xml:space="preserve">，上下行比须</t>
    </r>
    <r>
      <rPr>
        <sz val="9"/>
        <color rgb="FF0000FF"/>
        <rFont val="KaiTi"/>
        <family val="0"/>
        <charset val="1"/>
      </rPr>
      <t xml:space="preserve">&gt;2:1</t>
    </r>
  </si>
  <si>
    <r>
      <rPr>
        <sz val="8.5"/>
        <color rgb="FF000000"/>
        <rFont val="Noto Sans CJK SC"/>
        <family val="2"/>
      </rPr>
      <t xml:space="preserve">比值</t>
    </r>
    <r>
      <rPr>
        <sz val="8.5"/>
        <color rgb="FF000000"/>
        <rFont val="KaiTi"/>
        <family val="0"/>
        <charset val="1"/>
      </rPr>
      <t xml:space="preserve">&lt;1.5 </t>
    </r>
    <r>
      <rPr>
        <sz val="8.5"/>
        <color rgb="FF000000"/>
        <rFont val="Noto Sans CJK SC"/>
        <family val="2"/>
      </rPr>
      <t xml:space="preserve">不进长期组合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</si>
  <si>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确定估值范式上界（对照</t>
    </r>
    <r>
      <rPr>
        <sz val="9"/>
        <color rgb="FF0000FF"/>
        <rFont val="KaiTi"/>
        <family val="0"/>
        <charset val="1"/>
      </rPr>
      <t xml:space="preserve">03</t>
    </r>
    <r>
      <rPr>
        <sz val="9"/>
        <color rgb="FF0000FF"/>
        <rFont val="Noto Sans CJK SC"/>
        <family val="2"/>
      </rPr>
      <t xml:space="preserve">表形态→范式映射）</t>
    </r>
  </si>
  <si>
    <t xml:space="preserve">范式与格局形态一致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</si>
  <si>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只取长期假设：永续增速、终值</t>
    </r>
    <r>
      <rPr>
        <sz val="9"/>
        <color rgb="FF0000FF"/>
        <rFont val="KaiTi"/>
        <family val="0"/>
        <charset val="1"/>
      </rPr>
      <t xml:space="preserve">OPM</t>
    </r>
    <r>
      <rPr>
        <sz val="9"/>
        <color rgb="FF0000FF"/>
        <rFont val="Noto Sans CJK SC"/>
        <family val="2"/>
      </rPr>
      <t xml:space="preserve">、终值资本开支率</t>
    </r>
  </si>
  <si>
    <t xml:space="preserve">不记录季度调整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</si>
  <si>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统计覆盖家数，</t>
    </r>
    <r>
      <rPr>
        <sz val="9"/>
        <color rgb="FF0000FF"/>
        <rFont val="KaiTi"/>
        <family val="0"/>
        <charset val="1"/>
      </rPr>
      <t xml:space="preserve">&lt;3</t>
    </r>
    <r>
      <rPr>
        <sz val="9"/>
        <color rgb="FF0000FF"/>
        <rFont val="Noto Sans CJK SC"/>
        <family val="2"/>
      </rPr>
      <t xml:space="preserve">家标记为无锚需自建</t>
    </r>
  </si>
  <si>
    <t xml:space="preserve">标注锚定状态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</si>
  <si>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对比卖方终局假设与自建终局表的差异</t>
    </r>
  </si>
  <si>
    <t xml:space="preserve">逐条列差异项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</si>
  <si>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识别卖方模型里被隐藏的乐观假设</t>
    </r>
  </si>
  <si>
    <r>
      <rPr>
        <sz val="8.5"/>
        <color rgb="FF000000"/>
        <rFont val="Noto Sans CJK SC"/>
        <family val="2"/>
      </rPr>
      <t xml:space="preserve">至少找出</t>
    </r>
    <r>
      <rPr>
        <sz val="8.5"/>
        <color rgb="FF000000"/>
        <rFont val="KaiTi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条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</si>
  <si>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不因季度上下调改变长期判断</t>
    </r>
  </si>
  <si>
    <t xml:space="preserve">漂移日志中无季度触发记录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</si>
  <si>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指名绑定的十年级叙事，写出叙事的核心断言</t>
    </r>
  </si>
  <si>
    <t xml:space="preserve">一句话可证伪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</si>
  <si>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评估叙事在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年内被证伪或被吞并的概率</t>
    </r>
  </si>
  <si>
    <t xml:space="preserve">给出概率与触发条件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</si>
  <si>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对照历史同类叙事的存活率</t>
    </r>
  </si>
  <si>
    <r>
      <rPr>
        <sz val="8.5"/>
        <color rgb="FF000000"/>
        <rFont val="Noto Sans CJK SC"/>
        <family val="2"/>
      </rPr>
      <t xml:space="preserve">样本≥</t>
    </r>
    <r>
      <rPr>
        <sz val="8.5"/>
        <color rgb="FF000000"/>
        <rFont val="KaiTi"/>
        <family val="0"/>
        <charset val="1"/>
      </rPr>
      <t xml:space="preserve">5</t>
    </r>
    <r>
      <rPr>
        <sz val="8.5"/>
        <color rgb="FF000000"/>
        <rFont val="Noto Sans CJK SC"/>
        <family val="2"/>
      </rPr>
      <t xml:space="preserve">个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</si>
  <si>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判断当前叙事处于生命周期哪一段</t>
    </r>
  </si>
  <si>
    <r>
      <rPr>
        <sz val="8.5"/>
        <color rgb="FF000000"/>
        <rFont val="Noto Sans CJK SC"/>
        <family val="2"/>
      </rPr>
      <t xml:space="preserve">早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中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晚三档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</si>
  <si>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区分叙事驱动的估值溢价与基本面支撑部分</t>
    </r>
  </si>
  <si>
    <t xml:space="preserve">拆出溢价金额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</si>
  <si>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只看结构性变化：解禁总量、大股东减持计划、指数纳入</t>
    </r>
  </si>
  <si>
    <t xml:space="preserve">不记录周度拥挤度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</si>
  <si>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统计历史股本增长与摊薄路径</t>
    </r>
  </si>
  <si>
    <t xml:space="preserve">得出每股价值曲线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</si>
  <si>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评估到终局还需融多少钱、稀释多少</t>
    </r>
  </si>
  <si>
    <r>
      <rPr>
        <sz val="8.5"/>
        <color rgb="FF000000"/>
        <rFont val="Noto Sans CJK SC"/>
        <family val="2"/>
      </rPr>
      <t xml:space="preserve">累计</t>
    </r>
    <r>
      <rPr>
        <sz val="8.5"/>
        <color rgb="FF000000"/>
        <rFont val="KaiTi"/>
        <family val="0"/>
        <charset val="1"/>
      </rPr>
      <t xml:space="preserve">FCF</t>
    </r>
    <r>
      <rPr>
        <sz val="8.5"/>
        <color rgb="FF000000"/>
        <rFont val="Noto Sans CJK SC"/>
        <family val="2"/>
      </rPr>
      <t xml:space="preserve">缺口有数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</si>
  <si>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排查是否存在长期性的结构性卖压</t>
    </r>
  </si>
  <si>
    <t xml:space="preserve">如产业资本退出安排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</si>
  <si>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确认标的流动性能承载目标长期仓位</t>
    </r>
  </si>
  <si>
    <r>
      <rPr>
        <sz val="8.5"/>
        <color rgb="FF000000"/>
        <rFont val="Noto Sans CJK SC"/>
        <family val="2"/>
      </rPr>
      <t xml:space="preserve">建仓天数</t>
    </r>
    <r>
      <rPr>
        <sz val="8.5"/>
        <color rgb="FF000000"/>
        <rFont val="KaiTi"/>
        <family val="0"/>
        <charset val="1"/>
      </rPr>
      <t xml:space="preserve">&lt;20</t>
    </r>
    <r>
      <rPr>
        <sz val="8.5"/>
        <color rgb="FF000000"/>
        <rFont val="Noto Sans CJK SC"/>
        <family val="2"/>
      </rPr>
      <t xml:space="preserve">个交易日</t>
    </r>
  </si>
  <si>
    <r>
      <rPr>
        <b val="true"/>
        <sz val="8.5"/>
        <color rgb="FF000000"/>
        <rFont val="Noto Sans CJK SC"/>
        <family val="2"/>
      </rPr>
      <t xml:space="preserve">历史复盘 </t>
    </r>
    <r>
      <rPr>
        <b val="true"/>
        <sz val="8.5"/>
        <color rgb="FF000000"/>
        <rFont val="KaiTi"/>
        <family val="0"/>
        <charset val="1"/>
      </rPr>
      <t xml:space="preserve">/ base rate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</si>
  <si>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找历史上同类渗透路径的行业，统计终局利润率分布</t>
    </r>
  </si>
  <si>
    <r>
      <rPr>
        <sz val="8.5"/>
        <color rgb="FF000000"/>
        <rFont val="Noto Sans CJK SC"/>
        <family val="2"/>
      </rPr>
      <t xml:space="preserve">样本≥</t>
    </r>
    <r>
      <rPr>
        <sz val="8.5"/>
        <color rgb="FF000000"/>
        <rFont val="KaiTi"/>
        <family val="0"/>
        <charset val="1"/>
      </rPr>
      <t xml:space="preserve">5</t>
    </r>
    <r>
      <rPr>
        <sz val="8.5"/>
        <color rgb="FF000000"/>
        <rFont val="Noto Sans CJK SC"/>
        <family val="2"/>
      </rPr>
      <t xml:space="preserve">个行业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</si>
  <si>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统计赢家份额分布：终局</t>
    </r>
    <r>
      <rPr>
        <sz val="9"/>
        <color rgb="FF0000FF"/>
        <rFont val="KaiTi"/>
        <family val="0"/>
        <charset val="1"/>
      </rPr>
      <t xml:space="preserve">CR3</t>
    </r>
    <r>
      <rPr>
        <sz val="9"/>
        <color rgb="FF0000FF"/>
        <rFont val="Noto Sans CJK SC"/>
        <family val="2"/>
      </rPr>
      <t xml:space="preserve">落在什么区间</t>
    </r>
  </si>
  <si>
    <t xml:space="preserve">给出分布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</si>
  <si>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统计「看对终局但选错赢家」的历史频率</t>
    </r>
  </si>
  <si>
    <t xml:space="preserve">得出基础概率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</si>
  <si>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统计终局兑现日的股价反应（是否已</t>
    </r>
    <r>
      <rPr>
        <sz val="9"/>
        <color rgb="FF0000FF"/>
        <rFont val="KaiTi"/>
        <family val="0"/>
        <charset val="1"/>
      </rPr>
      <t xml:space="preserve">price in</t>
    </r>
    <r>
      <rPr>
        <sz val="9"/>
        <color rgb="FF0000FF"/>
        <rFont val="Noto Sans CJK SC"/>
        <family val="2"/>
      </rPr>
      <t xml:space="preserve">）</t>
    </r>
  </si>
  <si>
    <t xml:space="preserve">得出兑现日平均超额收益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</si>
  <si>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用</t>
    </r>
    <r>
      <rPr>
        <sz val="9"/>
        <color rgb="FF0000FF"/>
        <rFont val="KaiTi"/>
        <family val="0"/>
        <charset val="1"/>
      </rPr>
      <t xml:space="preserve">base rate</t>
    </r>
    <r>
      <rPr>
        <sz val="9"/>
        <color rgb="FF0000FF"/>
        <rFont val="Noto Sans CJK SC"/>
        <family val="2"/>
      </rPr>
      <t xml:space="preserve">校准自己的终局</t>
    </r>
    <r>
      <rPr>
        <sz val="9"/>
        <color rgb="FF0000FF"/>
        <rFont val="KaiTi"/>
        <family val="0"/>
        <charset val="1"/>
      </rPr>
      <t xml:space="preserve">OPM</t>
    </r>
    <r>
      <rPr>
        <sz val="9"/>
        <color rgb="FF0000FF"/>
        <rFont val="Noto Sans CJK SC"/>
        <family val="2"/>
      </rPr>
      <t xml:space="preserve">假设</t>
    </r>
  </si>
  <si>
    <r>
      <rPr>
        <sz val="8.5"/>
        <color rgb="FF000000"/>
        <rFont val="Noto Sans CJK SC"/>
        <family val="2"/>
      </rPr>
      <t xml:space="preserve">偏离</t>
    </r>
    <r>
      <rPr>
        <sz val="8.5"/>
        <color rgb="FF000000"/>
        <rFont val="KaiTi"/>
        <family val="0"/>
        <charset val="1"/>
      </rPr>
      <t xml:space="preserve">base rate</t>
    </r>
    <r>
      <rPr>
        <sz val="8.5"/>
        <color rgb="FF000000"/>
        <rFont val="Noto Sans CJK SC"/>
        <family val="2"/>
      </rPr>
      <t xml:space="preserve">须解释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</si>
  <si>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列出到终局要跨的结构性门槛清单</t>
    </r>
  </si>
  <si>
    <r>
      <rPr>
        <sz val="8.5"/>
        <color rgb="FF000000"/>
        <rFont val="Noto Sans CJK SC"/>
        <family val="2"/>
      </rPr>
      <t xml:space="preserve">逐项列出，不少于</t>
    </r>
    <r>
      <rPr>
        <sz val="8.5"/>
        <color rgb="FF000000"/>
        <rFont val="KaiTi"/>
        <family val="0"/>
        <charset val="1"/>
      </rPr>
      <t xml:space="preserve">4</t>
    </r>
    <r>
      <rPr>
        <sz val="8.5"/>
        <color rgb="FF000000"/>
        <rFont val="Noto Sans CJK SC"/>
        <family val="2"/>
      </rPr>
      <t xml:space="preserve">项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</si>
  <si>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给每道门槛赋失败概率与延期分布</t>
    </r>
  </si>
  <si>
    <t xml:space="preserve">概率有历史依据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</si>
  <si>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算累计通过概率，据此折价终局价值</t>
    </r>
  </si>
  <si>
    <t xml:space="preserve">折价系数写入模型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</si>
  <si>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标注每道门槛的可观测信号与时间点</t>
    </r>
  </si>
  <si>
    <t xml:space="preserve">可挂入跟踪表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</si>
  <si>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识别哪道门槛一旦失败即触发</t>
    </r>
    <r>
      <rPr>
        <sz val="9"/>
        <color rgb="FF0000FF"/>
        <rFont val="KaiTi"/>
        <family val="0"/>
        <charset val="1"/>
      </rPr>
      <t xml:space="preserve">kill criteria</t>
    </r>
  </si>
  <si>
    <t xml:space="preserve">至少指名一条</t>
  </si>
  <si>
    <r>
      <rPr>
        <b val="true"/>
        <sz val="8.5"/>
        <color rgb="FF000000"/>
        <rFont val="Noto Sans CJK SC"/>
        <family val="2"/>
      </rPr>
      <t xml:space="preserve">跨市场</t>
    </r>
    <r>
      <rPr>
        <b val="true"/>
        <sz val="8.5"/>
        <color rgb="FF000000"/>
        <rFont val="KaiTi"/>
        <family val="0"/>
        <charset val="1"/>
      </rPr>
      <t xml:space="preserve">/</t>
    </r>
    <r>
      <rPr>
        <b val="true"/>
        <sz val="8.5"/>
        <color rgb="FF000000"/>
        <rFont val="Noto Sans CJK SC"/>
        <family val="2"/>
      </rPr>
      <t xml:space="preserve">跨资产领先滞后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</si>
  <si>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找海外</t>
    </r>
    <r>
      <rPr>
        <sz val="9"/>
        <color rgb="FF0000FF"/>
        <rFont val="KaiTi"/>
        <family val="0"/>
        <charset val="1"/>
      </rPr>
      <t xml:space="preserve">3–5</t>
    </r>
    <r>
      <rPr>
        <sz val="9"/>
        <color rgb="FF0000FF"/>
        <rFont val="Noto Sans CJK SC"/>
        <family val="2"/>
      </rPr>
      <t xml:space="preserve">家成熟同业，取稳态</t>
    </r>
    <r>
      <rPr>
        <sz val="9"/>
        <color rgb="FF0000FF"/>
        <rFont val="KaiTi"/>
        <family val="0"/>
        <charset val="1"/>
      </rPr>
      <t xml:space="preserve">EV/EBIT</t>
    </r>
    <r>
      <rPr>
        <sz val="9"/>
        <color rgb="FF0000FF"/>
        <rFont val="Noto Sans CJK SC"/>
        <family val="2"/>
      </rPr>
      <t xml:space="preserve">、</t>
    </r>
    <r>
      <rPr>
        <sz val="9"/>
        <color rgb="FF0000FF"/>
        <rFont val="KaiTi"/>
        <family val="0"/>
        <charset val="1"/>
      </rPr>
      <t xml:space="preserve">ROIC</t>
    </r>
    <r>
      <rPr>
        <sz val="9"/>
        <color rgb="FF0000FF"/>
        <rFont val="Noto Sans CJK SC"/>
        <family val="2"/>
      </rPr>
      <t xml:space="preserve">、增速</t>
    </r>
  </si>
  <si>
    <t xml:space="preserve">可比性有说明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</si>
  <si>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对照商业模式差异，做可比性折溢价调整</t>
    </r>
  </si>
  <si>
    <t xml:space="preserve">调整幅度有依据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</si>
  <si>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以此设定终局估值锚的上下界</t>
    </r>
  </si>
  <si>
    <t xml:space="preserve">上下界写入模型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</si>
  <si>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检查跨市场估值差异是结构性还是暂时性</t>
    </r>
  </si>
  <si>
    <t xml:space="preserve">结构性差异不做均值回复假设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</si>
  <si>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不用当期估值做终局锚</t>
    </r>
  </si>
  <si>
    <r>
      <rPr>
        <sz val="8.5"/>
        <color rgb="FF000000"/>
        <rFont val="Noto Sans CJK SC"/>
        <family val="2"/>
      </rPr>
      <t xml:space="preserve">模型中终局</t>
    </r>
    <r>
      <rPr>
        <sz val="8.5"/>
        <color rgb="FF000000"/>
        <rFont val="KaiTi"/>
        <family val="0"/>
        <charset val="1"/>
      </rPr>
      <t xml:space="preserve">PE</t>
    </r>
    <r>
      <rPr>
        <sz val="8.5"/>
        <color rgb="FF000000"/>
        <rFont val="Noto Sans CJK SC"/>
        <family val="2"/>
      </rPr>
      <t xml:space="preserve">与当期</t>
    </r>
    <r>
      <rPr>
        <sz val="8.5"/>
        <color rgb="FF000000"/>
        <rFont val="KaiTi"/>
        <family val="0"/>
        <charset val="1"/>
      </rPr>
      <t xml:space="preserve">PE</t>
    </r>
    <r>
      <rPr>
        <sz val="8.5"/>
        <color rgb="FF000000"/>
        <rFont val="Noto Sans CJK SC"/>
        <family val="2"/>
      </rPr>
      <t xml:space="preserve">分开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</si>
  <si>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建季度供需平衡表：名义产能→有效产能→可交付供给</t>
    </r>
  </si>
  <si>
    <t xml:space="preserve">三层折扣率逐项列出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</si>
  <si>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列项目级投产清单，精确到季度与爬坡曲线</t>
    </r>
  </si>
  <si>
    <t xml:space="preserve">每个项目有投产季与满产季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</si>
  <si>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算缺口的绝对量、百分比与归零季度</t>
    </r>
  </si>
  <si>
    <r>
      <rPr>
        <sz val="8.5"/>
        <color rgb="FF000000"/>
        <rFont val="Noto Sans CJK SC"/>
        <family val="2"/>
      </rPr>
      <t xml:space="preserve">缺口</t>
    </r>
    <r>
      <rPr>
        <sz val="8.5"/>
        <color rgb="FF000000"/>
        <rFont val="KaiTi"/>
        <family val="0"/>
        <charset val="1"/>
      </rPr>
      <t xml:space="preserve">&gt;5%</t>
    </r>
    <r>
      <rPr>
        <sz val="8.5"/>
        <color rgb="FF000000"/>
        <rFont val="Noto Sans CJK SC"/>
        <family val="2"/>
      </rPr>
      <t xml:space="preserve">才认定为紧缺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</si>
  <si>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排查边际供给四来源：二线复产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进口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替代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库存</t>
    </r>
  </si>
  <si>
    <t xml:space="preserve">四项逐一给出量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</si>
  <si>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跟踪设备商订单增速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终端需求增速的背离</t>
    </r>
  </si>
  <si>
    <t xml:space="preserve">连续两季背离即预警供给超配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</si>
  <si>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拆订单→收入→利润三段时滞，分别标注拐点季度</t>
    </r>
  </si>
  <si>
    <t xml:space="preserve">三个拐点季度不得相同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</si>
  <si>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建爬坡曲线：投产到满产的季度数与良率路径</t>
    </r>
  </si>
  <si>
    <t xml:space="preserve">与历史新产能对照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</si>
  <si>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量化良率对毛利率的弹性系数</t>
    </r>
  </si>
  <si>
    <r>
      <rPr>
        <sz val="8.5"/>
        <color rgb="FF000000"/>
        <rFont val="Noto Sans CJK SC"/>
        <family val="2"/>
      </rPr>
      <t xml:space="preserve">每</t>
    </r>
    <r>
      <rPr>
        <sz val="8.5"/>
        <color rgb="FF000000"/>
        <rFont val="KaiTi"/>
        <family val="0"/>
        <charset val="1"/>
      </rPr>
      <t xml:space="preserve">1pct</t>
    </r>
    <r>
      <rPr>
        <sz val="8.5"/>
        <color rgb="FF000000"/>
        <rFont val="Noto Sans CJK SC"/>
        <family val="2"/>
      </rPr>
      <t xml:space="preserve">良率对应的毛利变动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</si>
  <si>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做量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价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结构三因子拆分解释毛利率变化</t>
    </r>
  </si>
  <si>
    <t xml:space="preserve">三因子加总等于实际变动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</si>
  <si>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按季更新模型，标注与上一版的差异</t>
    </r>
  </si>
  <si>
    <r>
      <rPr>
        <sz val="8.5"/>
        <color rgb="FF000000"/>
        <rFont val="Noto Sans CJK SC"/>
        <family val="2"/>
      </rPr>
      <t xml:space="preserve">版本</t>
    </r>
    <r>
      <rPr>
        <sz val="8.5"/>
        <color rgb="FF000000"/>
        <rFont val="KaiTi"/>
        <family val="0"/>
        <charset val="1"/>
      </rPr>
      <t xml:space="preserve">diff</t>
    </r>
    <r>
      <rPr>
        <sz val="8.5"/>
        <color rgb="FF000000"/>
        <rFont val="Noto Sans CJK SC"/>
        <family val="2"/>
      </rPr>
      <t xml:space="preserve">留痕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</si>
  <si>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只判断下一代产品能否按期量产</t>
    </r>
  </si>
  <si>
    <t xml:space="preserve">给出量产季度与置信度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</si>
  <si>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跟踪试产良率与客户送样进度</t>
    </r>
  </si>
  <si>
    <t xml:space="preserve">有一手数据支撑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</si>
  <si>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评估技术事件延期对收入曲线的影响</t>
    </r>
  </si>
  <si>
    <t xml:space="preserve">延期一季的收入敏感度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</si>
  <si>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不重做路线判断，沿用长期结论</t>
    </r>
  </si>
  <si>
    <t xml:space="preserve">记录中引用长期结论编号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</si>
  <si>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识别技术变更导致的</t>
    </r>
    <r>
      <rPr>
        <sz val="9"/>
        <color rgb="FF0000FF"/>
        <rFont val="KaiTi"/>
        <family val="0"/>
        <charset val="1"/>
      </rPr>
      <t xml:space="preserve">BOM</t>
    </r>
    <r>
      <rPr>
        <sz val="9"/>
        <color rgb="FF0000FF"/>
        <rFont val="Noto Sans CJK SC"/>
        <family val="2"/>
      </rPr>
      <t xml:space="preserve">结构改变</t>
    </r>
  </si>
  <si>
    <t xml:space="preserve">改变项列出并量化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</si>
  <si>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按周跟踪排产、开工率、库存天数、现货价</t>
    </r>
  </si>
  <si>
    <t xml:space="preserve">四项均有连续序列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</si>
  <si>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对每个变量测其领先报表的季度数</t>
    </r>
  </si>
  <si>
    <t xml:space="preserve">回归得出领先期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</si>
  <si>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做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周移动平均去噪后再判方向</t>
    </r>
  </si>
  <si>
    <t xml:space="preserve">不对单周数据反应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</si>
  <si>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三源交叉验证：官方 </t>
    </r>
    <r>
      <rPr>
        <sz val="9"/>
        <color rgb="FF0000FF"/>
        <rFont val="KaiTi"/>
        <family val="0"/>
        <charset val="1"/>
      </rPr>
      <t xml:space="preserve">/ </t>
    </r>
    <r>
      <rPr>
        <sz val="9"/>
        <color rgb="FF0000FF"/>
        <rFont val="Noto Sans CJK SC"/>
        <family val="2"/>
      </rPr>
      <t xml:space="preserve">一手 </t>
    </r>
    <r>
      <rPr>
        <sz val="9"/>
        <color rgb="FF0000FF"/>
        <rFont val="KaiTi"/>
        <family val="0"/>
        <charset val="1"/>
      </rPr>
      <t xml:space="preserve">/ </t>
    </r>
    <r>
      <rPr>
        <sz val="9"/>
        <color rgb="FF0000FF"/>
        <rFont val="Noto Sans CJK SC"/>
        <family val="2"/>
      </rPr>
      <t xml:space="preserve">上游出货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</si>
  <si>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重点看二阶导是否转向，而非绝对水平</t>
    </r>
  </si>
  <si>
    <t xml:space="preserve">记录中明确写出二阶导方向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</si>
  <si>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跟踪扩产、定增、并购公告</t>
    </r>
  </si>
  <si>
    <t xml:space="preserve">逐项记录金额与时点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</si>
  <si>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对照管理层指引与实际排产的一致性</t>
    </r>
  </si>
  <si>
    <r>
      <rPr>
        <sz val="8.5"/>
        <color rgb="FF000000"/>
        <rFont val="Noto Sans CJK SC"/>
        <family val="2"/>
      </rPr>
      <t xml:space="preserve">偏差</t>
    </r>
    <r>
      <rPr>
        <sz val="8.5"/>
        <color rgb="FF000000"/>
        <rFont val="KaiTi"/>
        <family val="0"/>
        <charset val="1"/>
      </rPr>
      <t xml:space="preserve">&gt;10%</t>
    </r>
    <r>
      <rPr>
        <sz val="8.5"/>
        <color rgb="FF000000"/>
        <rFont val="Noto Sans CJK SC"/>
        <family val="2"/>
      </rPr>
      <t xml:space="preserve">标记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</si>
  <si>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评估再融资对中期股本与</t>
    </r>
    <r>
      <rPr>
        <sz val="9"/>
        <color rgb="FF0000FF"/>
        <rFont val="KaiTi"/>
        <family val="0"/>
        <charset val="1"/>
      </rPr>
      <t xml:space="preserve">EPS</t>
    </r>
    <r>
      <rPr>
        <sz val="9"/>
        <color rgb="FF0000FF"/>
        <rFont val="Noto Sans CJK SC"/>
        <family val="2"/>
      </rPr>
      <t xml:space="preserve">的稀释</t>
    </r>
  </si>
  <si>
    <r>
      <rPr>
        <sz val="8.5"/>
        <color rgb="FF000000"/>
        <rFont val="Noto Sans CJK SC"/>
        <family val="2"/>
      </rPr>
      <t xml:space="preserve">算出摊薄后</t>
    </r>
    <r>
      <rPr>
        <sz val="8.5"/>
        <color rgb="FF000000"/>
        <rFont val="KaiTi"/>
        <family val="0"/>
        <charset val="1"/>
      </rPr>
      <t xml:space="preserve">EPS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</si>
  <si>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识别管理层在周期高点的资本开支冲动</t>
    </r>
  </si>
  <si>
    <t xml:space="preserve">是否逆势扩产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</si>
  <si>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跟踪高管增减持作为一致性信号</t>
    </r>
  </si>
  <si>
    <t xml:space="preserve">与指引矛盾时以行动为准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</si>
  <si>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反推当前价格隐含的是哪一年业绩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</si>
  <si>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反推隐含的季度斜率，对比可实现斜率</t>
    </r>
  </si>
  <si>
    <t xml:space="preserve">不可实现即为高危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</si>
  <si>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做敏感性，排出最先被物理变量证伪的假设</t>
    </r>
  </si>
  <si>
    <t xml:space="preserve">前两条列出并挂跟踪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</si>
  <si>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按季更新隐含定价，形成时间序列</t>
    </r>
  </si>
  <si>
    <t xml:space="preserve">可画出隐含年份漂移曲线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</si>
  <si>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与自建模型形成四象限判定（物理</t>
    </r>
    <r>
      <rPr>
        <sz val="9"/>
        <color rgb="FF0000FF"/>
        <rFont val="KaiTi"/>
        <family val="0"/>
        <charset val="1"/>
      </rPr>
      <t xml:space="preserve">×</t>
    </r>
    <r>
      <rPr>
        <sz val="9"/>
        <color rgb="FF0000FF"/>
        <rFont val="Noto Sans CJK SC"/>
        <family val="2"/>
      </rPr>
      <t xml:space="preserve">预期）</t>
    </r>
  </si>
  <si>
    <t xml:space="preserve">明确落在哪一象限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</si>
  <si>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拉近</t>
    </r>
    <r>
      <rPr>
        <sz val="9"/>
        <color rgb="FF0000FF"/>
        <rFont val="KaiTi"/>
        <family val="0"/>
        <charset val="1"/>
      </rPr>
      <t xml:space="preserve">3</t>
    </r>
    <r>
      <rPr>
        <sz val="9"/>
        <color rgb="FF0000FF"/>
        <rFont val="Noto Sans CJK SC"/>
        <family val="2"/>
      </rPr>
      <t xml:space="preserve">个月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上下调记录，判定四形态</t>
    </r>
  </si>
  <si>
    <t xml:space="preserve">形态标签唯一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</si>
  <si>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算自建预测在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分布中的分位</t>
    </r>
  </si>
  <si>
    <r>
      <rPr>
        <sz val="8.5"/>
        <color rgb="FF000000"/>
        <rFont val="Noto Sans CJK SC"/>
        <family val="2"/>
      </rPr>
      <t xml:space="preserve">目标</t>
    </r>
    <r>
      <rPr>
        <sz val="8.5"/>
        <color rgb="FF000000"/>
        <rFont val="KaiTi"/>
        <family val="0"/>
        <charset val="1"/>
      </rPr>
      <t xml:space="preserve">&gt;80</t>
    </r>
    <r>
      <rPr>
        <sz val="8.5"/>
        <color rgb="FF000000"/>
        <rFont val="Noto Sans CJK SC"/>
        <family val="2"/>
      </rPr>
      <t xml:space="preserve">分位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</si>
  <si>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统计单月上调家数占覆盖的比例</t>
    </r>
  </si>
  <si>
    <r>
      <rPr>
        <sz val="8.5"/>
        <color rgb="FF000000"/>
        <rFont val="Noto Sans CJK SC"/>
        <family val="2"/>
      </rPr>
      <t xml:space="preserve">超</t>
    </r>
    <r>
      <rPr>
        <sz val="8.5"/>
        <color rgb="FF000000"/>
        <rFont val="KaiTi"/>
        <family val="0"/>
        <charset val="1"/>
      </rPr>
      <t xml:space="preserve">50%</t>
    </r>
    <r>
      <rPr>
        <sz val="8.5"/>
        <color rgb="FF000000"/>
        <rFont val="Noto Sans CJK SC"/>
        <family val="2"/>
      </rPr>
      <t xml:space="preserve">即警戒顶部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</si>
  <si>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跟踪覆盖密度变化与离散度</t>
    </r>
  </si>
  <si>
    <t xml:space="preserve">离散度骤升须解释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</si>
  <si>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对照物理变量领先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的季度数</t>
    </r>
  </si>
  <si>
    <t xml:space="preserve">领先关系失效即降权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</si>
  <si>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判定叙事处于 </t>
    </r>
    <r>
      <rPr>
        <sz val="9"/>
        <color rgb="FF0000FF"/>
        <rFont val="KaiTi"/>
        <family val="0"/>
        <charset val="1"/>
      </rPr>
      <t xml:space="preserve">active / ignored / priced-out </t>
    </r>
    <r>
      <rPr>
        <sz val="9"/>
        <color rgb="FF0000FF"/>
        <rFont val="Noto Sans CJK SC"/>
        <family val="2"/>
      </rPr>
      <t xml:space="preserve">哪一段</t>
    </r>
  </si>
  <si>
    <t xml:space="preserve">标签唯一，有资金流佐证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</si>
  <si>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跟踪资金是刚进场还是在换手</t>
    </r>
  </si>
  <si>
    <r>
      <rPr>
        <sz val="8.5"/>
        <color rgb="FF000000"/>
        <rFont val="Noto Sans CJK SC"/>
        <family val="2"/>
      </rPr>
      <t xml:space="preserve">用换手率</t>
    </r>
    <r>
      <rPr>
        <sz val="8.5"/>
        <color rgb="FF000000"/>
        <rFont val="KaiTi"/>
        <family val="0"/>
        <charset val="1"/>
      </rPr>
      <t xml:space="preserve">+</t>
    </r>
    <r>
      <rPr>
        <sz val="8.5"/>
        <color rgb="FF000000"/>
        <rFont val="Noto Sans CJK SC"/>
        <family val="2"/>
      </rPr>
      <t xml:space="preserve">持仓年龄判定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</si>
  <si>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识别叙事可能被替换的竞争叙事</t>
    </r>
  </si>
  <si>
    <r>
      <rPr>
        <sz val="8.5"/>
        <color rgb="FF000000"/>
        <rFont val="Noto Sans CJK SC"/>
        <family val="2"/>
      </rPr>
      <t xml:space="preserve">列出至少</t>
    </r>
    <r>
      <rPr>
        <sz val="8.5"/>
        <color rgb="FF000000"/>
        <rFont val="KaiTi"/>
        <family val="0"/>
        <charset val="1"/>
      </rPr>
      <t xml:space="preserve">1</t>
    </r>
    <r>
      <rPr>
        <sz val="8.5"/>
        <color rgb="FF000000"/>
        <rFont val="Noto Sans CJK SC"/>
        <family val="2"/>
      </rPr>
      <t xml:space="preserve">个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</si>
  <si>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拆出叙事溢价占当前市值的比重</t>
    </r>
  </si>
  <si>
    <t xml:space="preserve">有数值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</si>
  <si>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按月复检叙事状态</t>
    </r>
  </si>
  <si>
    <t xml:space="preserve">留痕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</si>
  <si>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跟踪长钱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中短钱分档均龄与占比变化</t>
    </r>
  </si>
  <si>
    <r>
      <rPr>
        <sz val="8.5"/>
        <color rgb="FF000000"/>
        <rFont val="Noto Sans CJK SC"/>
        <family val="2"/>
      </rPr>
      <t xml:space="preserve">中短钱</t>
    </r>
    <r>
      <rPr>
        <sz val="8.5"/>
        <color rgb="FF000000"/>
        <rFont val="KaiTi"/>
        <family val="0"/>
        <charset val="1"/>
      </rPr>
      <t xml:space="preserve">&gt;50%</t>
    </r>
    <r>
      <rPr>
        <sz val="8.5"/>
        <color rgb="FF000000"/>
        <rFont val="Noto Sans CJK SC"/>
        <family val="2"/>
      </rPr>
      <t xml:space="preserve">标记脆弱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</si>
  <si>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列未来</t>
    </r>
    <r>
      <rPr>
        <sz val="9"/>
        <color rgb="FF0000FF"/>
        <rFont val="KaiTi"/>
        <family val="0"/>
        <charset val="1"/>
      </rPr>
      <t xml:space="preserve">6</t>
    </r>
    <r>
      <rPr>
        <sz val="9"/>
        <color rgb="FF0000FF"/>
        <rFont val="Noto Sans CJK SC"/>
        <family val="2"/>
      </rPr>
      <t xml:space="preserve">季解禁与定增日历及规模</t>
    </r>
  </si>
  <si>
    <t xml:space="preserve">占流通比逐项列出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</si>
  <si>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跟踪持仓集中度环比变化</t>
    </r>
  </si>
  <si>
    <r>
      <rPr>
        <sz val="8.5"/>
        <color rgb="FF000000"/>
        <rFont val="Noto Sans CJK SC"/>
        <family val="2"/>
      </rPr>
      <t xml:space="preserve">变化</t>
    </r>
    <r>
      <rPr>
        <sz val="8.5"/>
        <color rgb="FF000000"/>
        <rFont val="KaiTi"/>
        <family val="0"/>
        <charset val="1"/>
      </rPr>
      <t xml:space="preserve">&gt;3pct</t>
    </r>
    <r>
      <rPr>
        <sz val="8.5"/>
        <color rgb="FF000000"/>
        <rFont val="Noto Sans CJK SC"/>
        <family val="2"/>
      </rPr>
      <t xml:space="preserve">标记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</si>
  <si>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评估融资余额历史分位</t>
    </r>
  </si>
  <si>
    <r>
      <rPr>
        <sz val="8.5"/>
        <color rgb="FF000000"/>
        <rFont val="Noto Sans CJK SC"/>
        <family val="2"/>
      </rPr>
      <t xml:space="preserve">分位</t>
    </r>
    <r>
      <rPr>
        <sz val="8.5"/>
        <color rgb="FF000000"/>
        <rFont val="KaiTi"/>
        <family val="0"/>
        <charset val="1"/>
      </rPr>
      <t xml:space="preserve">&gt;90%</t>
    </r>
    <r>
      <rPr>
        <sz val="8.5"/>
        <color rgb="FF000000"/>
        <rFont val="Noto Sans CJK SC"/>
        <family val="2"/>
      </rPr>
      <t xml:space="preserve">标记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</si>
  <si>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识别边际供给（筹码）在哪个季度集中释放</t>
    </r>
  </si>
  <si>
    <t xml:space="preserve">指名季度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</si>
  <si>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统计上一轮同类上行段持续几季、幅度多少</t>
    </r>
  </si>
  <si>
    <t xml:space="preserve">样本明确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</si>
  <si>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统计股价见顶相对基本面见顶提前多少季</t>
    </r>
  </si>
  <si>
    <t xml:space="preserve">得出平均提前期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</si>
  <si>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分</t>
    </r>
    <r>
      <rPr>
        <sz val="9"/>
        <color rgb="FF0000FF"/>
        <rFont val="KaiTi"/>
        <family val="0"/>
        <charset val="1"/>
      </rPr>
      <t xml:space="preserve">regime</t>
    </r>
    <r>
      <rPr>
        <sz val="9"/>
        <color rgb="FF0000FF"/>
        <rFont val="Noto Sans CJK SC"/>
        <family val="2"/>
      </rPr>
      <t xml:space="preserve">统计，避免混合样本</t>
    </r>
  </si>
  <si>
    <t xml:space="preserve">牛熊分开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</si>
  <si>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用</t>
    </r>
    <r>
      <rPr>
        <sz val="9"/>
        <color rgb="FF0000FF"/>
        <rFont val="KaiTi"/>
        <family val="0"/>
        <charset val="1"/>
      </rPr>
      <t xml:space="preserve">base rate</t>
    </r>
    <r>
      <rPr>
        <sz val="9"/>
        <color rgb="FF0000FF"/>
        <rFont val="Noto Sans CJK SC"/>
        <family val="2"/>
      </rPr>
      <t xml:space="preserve">校准本轮持续时间假设</t>
    </r>
  </si>
  <si>
    <t xml:space="preserve">偏离须解释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</si>
  <si>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统计二阶导转负后的平均跌幅</t>
    </r>
  </si>
  <si>
    <t xml:space="preserve">作为减仓触发依据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</si>
  <si>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列未来</t>
    </r>
    <r>
      <rPr>
        <sz val="9"/>
        <color rgb="FF0000FF"/>
        <rFont val="KaiTi"/>
        <family val="0"/>
        <charset val="1"/>
      </rPr>
      <t xml:space="preserve">6</t>
    </r>
    <r>
      <rPr>
        <sz val="9"/>
        <color rgb="FF0000FF"/>
        <rFont val="Noto Sans CJK SC"/>
        <family val="2"/>
      </rPr>
      <t xml:space="preserve">季兑现日历：财报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招标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投产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政策</t>
    </r>
  </si>
  <si>
    <t xml:space="preserve">精确到季，逐项列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</si>
  <si>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标注每个节点的预期差方向与幅度</t>
    </r>
  </si>
  <si>
    <t xml:space="preserve">方向有依据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</si>
  <si>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识别哪个节点是本轮的证伪窗口</t>
    </r>
  </si>
  <si>
    <t xml:space="preserve">指名唯一节点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</si>
  <si>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跟踪节点延期风险</t>
    </r>
  </si>
  <si>
    <t xml:space="preserve">延期概率有估计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</si>
  <si>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按节点更新赔率与仓位建议</t>
    </r>
  </si>
  <si>
    <t xml:space="preserve">每节点后留痕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</si>
  <si>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测海外龙头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上游大宗与本标的的传导时滞</t>
    </r>
  </si>
  <si>
    <t xml:space="preserve">历史回归得出周数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</si>
  <si>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检查期货曲线（</t>
    </r>
    <r>
      <rPr>
        <sz val="9"/>
        <color rgb="FF0000FF"/>
        <rFont val="KaiTi"/>
        <family val="0"/>
        <charset val="1"/>
      </rPr>
      <t xml:space="preserve">contango/backwardation</t>
    </r>
    <r>
      <rPr>
        <sz val="9"/>
        <color rgb="FF0000FF"/>
        <rFont val="Noto Sans CJK SC"/>
        <family val="2"/>
      </rPr>
      <t xml:space="preserve">）隐含的供需预期</t>
    </r>
  </si>
  <si>
    <t xml:space="preserve">曲线形态有解读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</si>
  <si>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对照海外同业的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修正方向</t>
    </r>
  </si>
  <si>
    <r>
      <rPr>
        <sz val="8.5"/>
        <color rgb="FF000000"/>
        <rFont val="Noto Sans CJK SC"/>
        <family val="2"/>
      </rPr>
      <t xml:space="preserve">是否领先</t>
    </r>
    <r>
      <rPr>
        <sz val="8.5"/>
        <color rgb="FF000000"/>
        <rFont val="KaiTi"/>
        <family val="0"/>
        <charset val="1"/>
      </rPr>
      <t xml:space="preserve">A</t>
    </r>
    <r>
      <rPr>
        <sz val="8.5"/>
        <color rgb="FF000000"/>
        <rFont val="Noto Sans CJK SC"/>
        <family val="2"/>
      </rPr>
      <t xml:space="preserve">股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</si>
  <si>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评估相关性的稳定性（滚动</t>
    </r>
    <r>
      <rPr>
        <sz val="9"/>
        <color rgb="FF0000FF"/>
        <rFont val="KaiTi"/>
        <family val="0"/>
        <charset val="1"/>
      </rPr>
      <t xml:space="preserve">R²</t>
    </r>
    <r>
      <rPr>
        <sz val="9"/>
        <color rgb="FF0000FF"/>
        <rFont val="Noto Sans CJK SC"/>
        <family val="2"/>
      </rPr>
      <t xml:space="preserve">）</t>
    </r>
  </si>
  <si>
    <r>
      <rPr>
        <sz val="8.5"/>
        <color rgb="FF000000"/>
        <rFont val="KaiTi"/>
        <family val="0"/>
        <charset val="1"/>
      </rPr>
      <t xml:space="preserve">R²&lt;0.3 </t>
    </r>
    <r>
      <rPr>
        <sz val="8.5"/>
        <color rgb="FF000000"/>
        <rFont val="Noto Sans CJK SC"/>
        <family val="2"/>
      </rPr>
      <t xml:space="preserve">即降权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</si>
  <si>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识别传导链条中的政策阻断点</t>
    </r>
  </si>
  <si>
    <r>
      <rPr>
        <sz val="8.5"/>
        <color rgb="FF000000"/>
        <rFont val="Noto Sans CJK SC"/>
        <family val="2"/>
      </rPr>
      <t xml:space="preserve">如出口管制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价格干预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</si>
  <si>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只取本周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本月边际数据点：价格、开工、招标结果</t>
    </r>
  </si>
  <si>
    <t xml:space="preserve">逐项标注日期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</si>
  <si>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核对边际数据与市场默认叙事是否一致</t>
    </r>
  </si>
  <si>
    <r>
      <rPr>
        <sz val="8.5"/>
        <color rgb="FF000000"/>
        <rFont val="Noto Sans CJK SC"/>
        <family val="2"/>
      </rPr>
      <t xml:space="preserve">一致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背离二选一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</si>
  <si>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识别单点数据的噪声区间</t>
    </r>
  </si>
  <si>
    <t xml:space="preserve">超噪声区间才算信号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</si>
  <si>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不做全链条重梳理</t>
    </r>
  </si>
  <si>
    <t xml:space="preserve">记录长度控制在一页内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</si>
  <si>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把背离数据挂入事件日历</t>
    </r>
  </si>
  <si>
    <t xml:space="preserve">已挂入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</si>
  <si>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事前锁定市场会盯的</t>
    </r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个数字</t>
    </r>
  </si>
  <si>
    <t xml:space="preserve">锁定后不再更改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</si>
  <si>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对这</t>
    </r>
    <r>
      <rPr>
        <sz val="9"/>
        <color rgb="FF0000FF"/>
        <rFont val="KaiTi"/>
        <family val="0"/>
        <charset val="1"/>
      </rPr>
      <t xml:space="preserve">2–3</t>
    </r>
    <r>
      <rPr>
        <sz val="9"/>
        <color rgb="FF0000FF"/>
        <rFont val="Noto Sans CJK SC"/>
        <family val="2"/>
      </rPr>
      <t xml:space="preserve">个数字做点估计并给出区间</t>
    </r>
  </si>
  <si>
    <r>
      <rPr>
        <sz val="8.5"/>
        <color rgb="FF000000"/>
        <rFont val="Noto Sans CJK SC"/>
        <family val="2"/>
      </rPr>
      <t xml:space="preserve">区间宽度</t>
    </r>
    <r>
      <rPr>
        <sz val="8.5"/>
        <color rgb="FF000000"/>
        <rFont val="KaiTi"/>
        <family val="0"/>
        <charset val="1"/>
      </rPr>
      <t xml:space="preserve">&lt;10%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</si>
  <si>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估计指引的可能措辞与对应价格弹性</t>
    </r>
  </si>
  <si>
    <t xml:space="preserve">三档情景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</si>
  <si>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对照历史财报当日的价格反应函数</t>
    </r>
  </si>
  <si>
    <r>
      <rPr>
        <sz val="8.5"/>
        <color rgb="FF000000"/>
        <rFont val="Noto Sans CJK SC"/>
        <family val="2"/>
      </rPr>
      <t xml:space="preserve">样本≥</t>
    </r>
    <r>
      <rPr>
        <sz val="8.5"/>
        <color rgb="FF000000"/>
        <rFont val="KaiTi"/>
        <family val="0"/>
        <charset val="1"/>
      </rPr>
      <t xml:space="preserve">8</t>
    </r>
    <r>
      <rPr>
        <sz val="8.5"/>
        <color rgb="FF000000"/>
        <rFont val="Noto Sans CJK SC"/>
        <family val="2"/>
      </rPr>
      <t xml:space="preserve">次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</si>
  <si>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不做全面财报分析</t>
    </r>
  </si>
  <si>
    <t xml:space="preserve">分析范围仅限锁定数字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</si>
  <si>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仅在技术事件当日用于判真假（发布会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流片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认证）</t>
    </r>
  </si>
  <si>
    <t xml:space="preserve">有明确判定结论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</si>
  <si>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核对技术参数与物理约束是否自洽</t>
    </r>
  </si>
  <si>
    <t xml:space="preserve">不自洽即判为营销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</si>
  <si>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识别技术公告中的口径陷阱（实验室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量产）</t>
    </r>
  </si>
  <si>
    <t xml:space="preserve">口径已标注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</si>
  <si>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不参与常规短期决策</t>
    </r>
  </si>
  <si>
    <t xml:space="preserve">权重记为最低档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</si>
  <si>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技术事件后</t>
    </r>
    <r>
      <rPr>
        <sz val="9"/>
        <color rgb="FF0000FF"/>
        <rFont val="KaiTi"/>
        <family val="0"/>
        <charset val="1"/>
      </rPr>
      <t xml:space="preserve">48</t>
    </r>
    <r>
      <rPr>
        <sz val="9"/>
        <color rgb="FF0000FF"/>
        <rFont val="Noto Sans CJK SC"/>
        <family val="2"/>
      </rPr>
      <t xml:space="preserve">小时内结论归档</t>
    </r>
  </si>
  <si>
    <t xml:space="preserve">已归档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</si>
  <si>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事件前后即时验证供应链是否有真实动作</t>
    </r>
  </si>
  <si>
    <r>
      <rPr>
        <sz val="8.5"/>
        <color rgb="FF000000"/>
        <rFont val="Noto Sans CJK SC"/>
        <family val="2"/>
      </rPr>
      <t xml:space="preserve">有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无二选一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</si>
  <si>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区分「有新闻」与「有订单」</t>
    </r>
  </si>
  <si>
    <r>
      <rPr>
        <sz val="8.5"/>
        <color rgb="FF000000"/>
        <rFont val="Noto Sans CJK SC"/>
        <family val="2"/>
      </rPr>
      <t xml:space="preserve">以合同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排产为准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</si>
  <si>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向</t>
    </r>
    <r>
      <rPr>
        <sz val="9"/>
        <color rgb="FF0000FF"/>
        <rFont val="KaiTi"/>
        <family val="0"/>
        <charset val="1"/>
      </rPr>
      <t xml:space="preserve">2</t>
    </r>
    <r>
      <rPr>
        <sz val="9"/>
        <color rgb="FF0000FF"/>
        <rFont val="Noto Sans CJK SC"/>
        <family val="2"/>
      </rPr>
      <t xml:space="preserve">个独立渠道快速求证（</t>
    </r>
    <r>
      <rPr>
        <sz val="9"/>
        <color rgb="FF0000FF"/>
        <rFont val="KaiTi"/>
        <family val="0"/>
        <charset val="1"/>
      </rPr>
      <t xml:space="preserve">24</t>
    </r>
    <r>
      <rPr>
        <sz val="9"/>
        <color rgb="FF0000FF"/>
        <rFont val="Noto Sans CJK SC"/>
        <family val="2"/>
      </rPr>
      <t xml:space="preserve">小时内）</t>
    </r>
  </si>
  <si>
    <t xml:space="preserve">两源同向才采信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</si>
  <si>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量化验证结果对被定价数字的影响</t>
    </r>
  </si>
  <si>
    <t xml:space="preserve">换算成具体数值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</si>
  <si>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验证不到即降低仓位，不做假设填补</t>
    </r>
  </si>
  <si>
    <t xml:space="preserve">执行留痕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</si>
  <si>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跟踪增减持公告、股权质押、异常人事变动</t>
    </r>
  </si>
  <si>
    <t xml:space="preserve">逐项记录时间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</si>
  <si>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判断管理层行为与公开表态是否矛盾</t>
    </r>
  </si>
  <si>
    <t xml:space="preserve">矛盾时以行动为准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</si>
  <si>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评估质押平仓线与当前股价的距离</t>
    </r>
  </si>
  <si>
    <r>
      <rPr>
        <sz val="8.5"/>
        <color rgb="FF000000"/>
        <rFont val="Noto Sans CJK SC"/>
        <family val="2"/>
      </rPr>
      <t xml:space="preserve">距离</t>
    </r>
    <r>
      <rPr>
        <sz val="8.5"/>
        <color rgb="FF000000"/>
        <rFont val="KaiTi"/>
        <family val="0"/>
        <charset val="1"/>
      </rPr>
      <t xml:space="preserve">&lt;20%</t>
    </r>
    <r>
      <rPr>
        <sz val="8.5"/>
        <color rgb="FF000000"/>
        <rFont val="Noto Sans CJK SC"/>
        <family val="2"/>
      </rPr>
      <t xml:space="preserve">标记高危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</si>
  <si>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识别一致行动人的变化</t>
    </r>
  </si>
  <si>
    <t xml:space="preserve">有变化即警戒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</si>
  <si>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不做治理结构深度分析</t>
    </r>
  </si>
  <si>
    <t xml:space="preserve">控制在半页内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</si>
  <si>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取三口径隐含预期的最大值作为过关线</t>
    </r>
  </si>
  <si>
    <t xml:space="preserve">三口径都有数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</si>
  <si>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算实际值相对过关线的偏离百分点</t>
    </r>
  </si>
  <si>
    <r>
      <rPr>
        <sz val="8.5"/>
        <color rgb="FF000000"/>
        <rFont val="Noto Sans CJK SC"/>
        <family val="2"/>
      </rPr>
      <t xml:space="preserve">偏离</t>
    </r>
    <r>
      <rPr>
        <sz val="8.5"/>
        <color rgb="FF000000"/>
        <rFont val="KaiTi"/>
        <family val="0"/>
        <charset val="1"/>
      </rPr>
      <t xml:space="preserve">&gt;5%</t>
    </r>
    <r>
      <rPr>
        <sz val="8.5"/>
        <color rgb="FF000000"/>
        <rFont val="Noto Sans CJK SC"/>
        <family val="2"/>
      </rPr>
      <t xml:space="preserve">才有方向性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</si>
  <si>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识别哪条假设在事件中会被直接检验</t>
    </r>
  </si>
  <si>
    <t xml:space="preserve">指名唯一假设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</si>
  <si>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事前写下「什么结果对应什么动作」</t>
    </r>
  </si>
  <si>
    <t xml:space="preserve">动作表已写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</si>
  <si>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事后对照实际反应，校准隐含预期模型</t>
    </r>
  </si>
  <si>
    <t xml:space="preserve">校准留痕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</si>
  <si>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跟踪事件后</t>
    </r>
    <r>
      <rPr>
        <sz val="9"/>
        <color rgb="FF0000FF"/>
        <rFont val="KaiTi"/>
        <family val="0"/>
        <charset val="1"/>
      </rPr>
      <t xml:space="preserve">48</t>
    </r>
    <r>
      <rPr>
        <sz val="9"/>
        <color rgb="FF0000FF"/>
        <rFont val="Noto Sans CJK SC"/>
        <family val="2"/>
      </rPr>
      <t xml:space="preserve">小时评级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目标价调整方向与密度</t>
    </r>
  </si>
  <si>
    <t xml:space="preserve">逐家记录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</si>
  <si>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识别集体上调（</t>
    </r>
    <r>
      <rPr>
        <sz val="9"/>
        <color rgb="FF0000FF"/>
        <rFont val="KaiTi"/>
        <family val="0"/>
        <charset val="1"/>
      </rPr>
      <t xml:space="preserve">&gt;50%</t>
    </r>
    <r>
      <rPr>
        <sz val="9"/>
        <color rgb="FF0000FF"/>
        <rFont val="Noto Sans CJK SC"/>
        <family val="2"/>
      </rPr>
      <t xml:space="preserve">覆盖）作为顶部警戒</t>
    </r>
  </si>
  <si>
    <t xml:space="preserve">触发即标记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</si>
  <si>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对比</t>
    </r>
    <r>
      <rPr>
        <sz val="9"/>
        <color rgb="FF0000FF"/>
        <rFont val="KaiTi"/>
        <family val="0"/>
        <charset val="1"/>
      </rPr>
      <t xml:space="preserve">whisper</t>
    </r>
    <r>
      <rPr>
        <sz val="9"/>
        <color rgb="FF0000FF"/>
        <rFont val="Noto Sans CJK SC"/>
        <family val="2"/>
      </rPr>
      <t xml:space="preserve">与公开</t>
    </r>
    <r>
      <rPr>
        <sz val="9"/>
        <color rgb="FF0000FF"/>
        <rFont val="KaiTi"/>
        <family val="0"/>
        <charset val="1"/>
      </rPr>
      <t xml:space="preserve">consensus</t>
    </r>
    <r>
      <rPr>
        <sz val="9"/>
        <color rgb="FF0000FF"/>
        <rFont val="Noto Sans CJK SC"/>
        <family val="2"/>
      </rPr>
      <t xml:space="preserve">的差值</t>
    </r>
  </si>
  <si>
    <r>
      <rPr>
        <sz val="8.5"/>
        <color rgb="FF000000"/>
        <rFont val="Noto Sans CJK SC"/>
        <family val="2"/>
      </rPr>
      <t xml:space="preserve">差值</t>
    </r>
    <r>
      <rPr>
        <sz val="8.5"/>
        <color rgb="FF000000"/>
        <rFont val="KaiTi"/>
        <family val="0"/>
        <charset val="1"/>
      </rPr>
      <t xml:space="preserve">&gt;10%</t>
    </r>
    <r>
      <rPr>
        <sz val="8.5"/>
        <color rgb="FF000000"/>
        <rFont val="Noto Sans CJK SC"/>
        <family val="2"/>
      </rPr>
      <t xml:space="preserve">标记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</si>
  <si>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跟踪目标价分布的离散度变化</t>
    </r>
  </si>
  <si>
    <t xml:space="preserve">离散骤升须解释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</si>
  <si>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不因单家研报改变判断</t>
    </r>
  </si>
  <si>
    <r>
      <rPr>
        <sz val="8.5"/>
        <color rgb="FF000000"/>
        <rFont val="Noto Sans CJK SC"/>
        <family val="2"/>
      </rPr>
      <t xml:space="preserve">需≥</t>
    </r>
    <r>
      <rPr>
        <sz val="8.5"/>
        <color rgb="FF000000"/>
        <rFont val="KaiTi"/>
        <family val="0"/>
        <charset val="1"/>
      </rPr>
      <t xml:space="preserve">3</t>
    </r>
    <r>
      <rPr>
        <sz val="8.5"/>
        <color rgb="FF000000"/>
        <rFont val="Noto Sans CJK SC"/>
        <family val="2"/>
      </rPr>
      <t xml:space="preserve">家同向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</si>
  <si>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指名当下市场在交易的唯一主叙事</t>
    </r>
  </si>
  <si>
    <t xml:space="preserve">一句话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</si>
  <si>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判断本次事件是强化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削弱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替换该叙事</t>
    </r>
  </si>
  <si>
    <t xml:space="preserve">三选一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</si>
  <si>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跟踪事件后</t>
    </r>
    <r>
      <rPr>
        <sz val="9"/>
        <color rgb="FF0000FF"/>
        <rFont val="KaiTi"/>
        <family val="0"/>
        <charset val="1"/>
      </rPr>
      <t xml:space="preserve">48</t>
    </r>
    <r>
      <rPr>
        <sz val="9"/>
        <color rgb="FF0000FF"/>
        <rFont val="Noto Sans CJK SC"/>
        <family val="2"/>
      </rPr>
      <t xml:space="preserve">小时资金流方向验证叙事变化</t>
    </r>
  </si>
  <si>
    <t xml:space="preserve">资金流有数据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</si>
  <si>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识别替代叙事是否正在接管</t>
    </r>
  </si>
  <si>
    <r>
      <rPr>
        <sz val="8.5"/>
        <color rgb="FF000000"/>
        <rFont val="Noto Sans CJK SC"/>
        <family val="2"/>
      </rPr>
      <t xml:space="preserve">有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无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</si>
  <si>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叙事被替换即重估全部短期头寸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</si>
  <si>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指名边际买家类别（北向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公募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私募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游资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被动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散户）</t>
    </r>
  </si>
  <si>
    <t xml:space="preserve">唯一主类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</si>
  <si>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评估该类资金的仓位历史分位与剩余弹药</t>
    </r>
  </si>
  <si>
    <r>
      <rPr>
        <sz val="8.5"/>
        <color rgb="FF000000"/>
        <rFont val="Noto Sans CJK SC"/>
        <family val="2"/>
      </rPr>
      <t xml:space="preserve">分位</t>
    </r>
    <r>
      <rPr>
        <sz val="8.5"/>
        <color rgb="FF000000"/>
        <rFont val="KaiTi"/>
        <family val="0"/>
        <charset val="1"/>
      </rPr>
      <t xml:space="preserve">&gt;85%</t>
    </r>
    <r>
      <rPr>
        <sz val="8.5"/>
        <color rgb="FF000000"/>
        <rFont val="Noto Sans CJK SC"/>
        <family val="2"/>
      </rPr>
      <t xml:space="preserve">即无弹药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</si>
  <si>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测拥挤度：成交额占比分位、板块相关性、覆盖骤增</t>
    </r>
  </si>
  <si>
    <t xml:space="preserve">三项至少两项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</si>
  <si>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查未来</t>
    </r>
    <r>
      <rPr>
        <sz val="9"/>
        <color rgb="FF0000FF"/>
        <rFont val="KaiTi"/>
        <family val="0"/>
        <charset val="1"/>
      </rPr>
      <t xml:space="preserve">8</t>
    </r>
    <r>
      <rPr>
        <sz val="9"/>
        <color rgb="FF0000FF"/>
        <rFont val="Noto Sans CJK SC"/>
        <family val="2"/>
      </rPr>
      <t xml:space="preserve">周解禁量占流通比</t>
    </r>
  </si>
  <si>
    <r>
      <rPr>
        <sz val="8.5"/>
        <color rgb="FF000000"/>
        <rFont val="Noto Sans CJK SC"/>
        <family val="2"/>
      </rPr>
      <t xml:space="preserve">占比</t>
    </r>
    <r>
      <rPr>
        <sz val="8.5"/>
        <color rgb="FF000000"/>
        <rFont val="KaiTi"/>
        <family val="0"/>
        <charset val="1"/>
      </rPr>
      <t xml:space="preserve">&gt;5%</t>
    </r>
    <r>
      <rPr>
        <sz val="8.5"/>
        <color rgb="FF000000"/>
        <rFont val="Noto Sans CJK SC"/>
        <family val="2"/>
      </rPr>
      <t xml:space="preserve">标记压制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</si>
  <si>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评估套牢盘占比与主要成本区位置</t>
    </r>
  </si>
  <si>
    <t xml:space="preserve">筹码分布图已看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</si>
  <si>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统计这类事件历史平均涨几天、涨多少、回吐比例</t>
    </r>
  </si>
  <si>
    <r>
      <rPr>
        <sz val="8.5"/>
        <color rgb="FF000000"/>
        <rFont val="Noto Sans CJK SC"/>
        <family val="2"/>
      </rPr>
      <t xml:space="preserve">样本≥</t>
    </r>
    <r>
      <rPr>
        <sz val="8.5"/>
        <color rgb="FF000000"/>
        <rFont val="KaiTi"/>
        <family val="0"/>
        <charset val="1"/>
      </rPr>
      <t xml:space="preserve">20</t>
    </r>
    <r>
      <rPr>
        <sz val="8.5"/>
        <color rgb="FF000000"/>
        <rFont val="Noto Sans CJK SC"/>
        <family val="2"/>
      </rPr>
      <t xml:space="preserve">次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</si>
  <si>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分</t>
    </r>
    <r>
      <rPr>
        <sz val="9"/>
        <color rgb="FF0000FF"/>
        <rFont val="KaiTi"/>
        <family val="0"/>
        <charset val="1"/>
      </rPr>
      <t xml:space="preserve">regime</t>
    </r>
    <r>
      <rPr>
        <sz val="9"/>
        <color rgb="FF0000FF"/>
        <rFont val="Noto Sans CJK SC"/>
        <family val="2"/>
      </rPr>
      <t xml:space="preserve">统计，剔除环境不可比的样本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</si>
  <si>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统计「利好出尽」反向发生的频率</t>
    </r>
  </si>
  <si>
    <t xml:space="preserve">得出反向概率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</si>
  <si>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测首日反应对后续</t>
    </r>
    <r>
      <rPr>
        <sz val="9"/>
        <color rgb="FF0000FF"/>
        <rFont val="KaiTi"/>
        <family val="0"/>
        <charset val="1"/>
      </rPr>
      <t xml:space="preserve">5</t>
    </r>
    <r>
      <rPr>
        <sz val="9"/>
        <color rgb="FF0000FF"/>
        <rFont val="Noto Sans CJK SC"/>
        <family val="2"/>
      </rPr>
      <t xml:space="preserve">日的预测力</t>
    </r>
  </si>
  <si>
    <t xml:space="preserve">相关系数有数</t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</si>
  <si>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用</t>
    </r>
    <r>
      <rPr>
        <sz val="9"/>
        <color rgb="FF0000FF"/>
        <rFont val="KaiTi"/>
        <family val="0"/>
        <charset val="1"/>
      </rPr>
      <t xml:space="preserve">base rate</t>
    </r>
    <r>
      <rPr>
        <sz val="9"/>
        <color rgb="FF0000FF"/>
        <rFont val="Noto Sans CJK SC"/>
        <family val="2"/>
      </rPr>
      <t xml:space="preserve">设定持有期与止盈位</t>
    </r>
  </si>
  <si>
    <t xml:space="preserve">写入交易计划</t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</si>
  <si>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列未来</t>
    </r>
    <r>
      <rPr>
        <sz val="9"/>
        <color rgb="FF0000FF"/>
        <rFont val="KaiTi"/>
        <family val="0"/>
        <charset val="1"/>
      </rPr>
      <t xml:space="preserve">1–8</t>
    </r>
    <r>
      <rPr>
        <sz val="9"/>
        <color rgb="FF0000FF"/>
        <rFont val="Noto Sans CJK SC"/>
        <family val="2"/>
      </rPr>
      <t xml:space="preserve">周日程表，精确到日</t>
    </r>
  </si>
  <si>
    <t xml:space="preserve">逐项有日期</t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</si>
  <si>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对每个节点算事前涨幅 </t>
    </r>
    <r>
      <rPr>
        <sz val="9"/>
        <color rgb="FF0000FF"/>
        <rFont val="KaiTi"/>
        <family val="0"/>
        <charset val="1"/>
      </rPr>
      <t xml:space="preserve">vs </t>
    </r>
    <r>
      <rPr>
        <sz val="9"/>
        <color rgb="FF0000FF"/>
        <rFont val="Noto Sans CJK SC"/>
        <family val="2"/>
      </rPr>
      <t xml:space="preserve">历史该类事件均值</t>
    </r>
  </si>
  <si>
    <r>
      <rPr>
        <sz val="8.5"/>
        <color rgb="FF000000"/>
        <rFont val="Noto Sans CJK SC"/>
        <family val="2"/>
      </rPr>
      <t xml:space="preserve">超均值即判定已</t>
    </r>
    <r>
      <rPr>
        <sz val="8.5"/>
        <color rgb="FF000000"/>
        <rFont val="KaiTi"/>
        <family val="0"/>
        <charset val="1"/>
      </rPr>
      <t xml:space="preserve">price in</t>
    </r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</si>
  <si>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按确定性分级定仓（确定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大概率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传闻）</t>
    </r>
  </si>
  <si>
    <r>
      <rPr>
        <sz val="8.5"/>
        <color rgb="FF000000"/>
        <rFont val="Noto Sans CJK SC"/>
        <family val="2"/>
      </rPr>
      <t xml:space="preserve">传闻类仓位≤</t>
    </r>
    <r>
      <rPr>
        <sz val="8.5"/>
        <color rgb="FF000000"/>
        <rFont val="KaiTi"/>
        <family val="0"/>
        <charset val="1"/>
      </rPr>
      <t xml:space="preserve">1/3</t>
    </r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</si>
  <si>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判断事件是终点还是起点（后面还有没有节点）</t>
    </r>
  </si>
  <si>
    <r>
      <rPr>
        <sz val="8.5"/>
        <color rgb="FF000000"/>
        <rFont val="Noto Sans CJK SC"/>
        <family val="2"/>
      </rPr>
      <t xml:space="preserve">有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无，决定兑现即卖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</si>
  <si>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事件未按期发生即执行离场</t>
    </r>
  </si>
  <si>
    <r>
      <rPr>
        <sz val="9"/>
        <color rgb="FF0000FF"/>
        <rFont val="KaiTi"/>
        <family val="0"/>
        <charset val="1"/>
      </rPr>
      <t xml:space="preserve">1. </t>
    </r>
    <r>
      <rPr>
        <sz val="9"/>
        <color rgb="FF0000FF"/>
        <rFont val="Noto Sans CJK SC"/>
        <family val="2"/>
      </rPr>
      <t xml:space="preserve">测海外锚隔夜涨跌对次日的历史</t>
    </r>
    <r>
      <rPr>
        <sz val="9"/>
        <color rgb="FF0000FF"/>
        <rFont val="KaiTi"/>
        <family val="0"/>
        <charset val="1"/>
      </rPr>
      <t xml:space="preserve">beta</t>
    </r>
    <r>
      <rPr>
        <sz val="9"/>
        <color rgb="FF0000FF"/>
        <rFont val="Noto Sans CJK SC"/>
        <family val="2"/>
      </rPr>
      <t xml:space="preserve">与</t>
    </r>
    <r>
      <rPr>
        <sz val="9"/>
        <color rgb="FF0000FF"/>
        <rFont val="KaiTi"/>
        <family val="0"/>
        <charset val="1"/>
      </rPr>
      <t xml:space="preserve">R²</t>
    </r>
  </si>
  <si>
    <r>
      <rPr>
        <sz val="8.5"/>
        <color rgb="FF000000"/>
        <rFont val="KaiTi"/>
        <family val="0"/>
        <charset val="1"/>
      </rPr>
      <t xml:space="preserve">R²&lt;0.3</t>
    </r>
    <r>
      <rPr>
        <sz val="8.5"/>
        <color rgb="FF000000"/>
        <rFont val="Noto Sans CJK SC"/>
        <family val="2"/>
      </rPr>
      <t xml:space="preserve">即不用</t>
    </r>
  </si>
  <si>
    <r>
      <rPr>
        <sz val="9"/>
        <color rgb="FF0000FF"/>
        <rFont val="KaiTi"/>
        <family val="0"/>
        <charset val="1"/>
      </rPr>
      <t xml:space="preserve">2. </t>
    </r>
    <r>
      <rPr>
        <sz val="9"/>
        <color rgb="FF0000FF"/>
        <rFont val="Noto Sans CJK SC"/>
        <family val="2"/>
      </rPr>
      <t xml:space="preserve">检查商品</t>
    </r>
    <r>
      <rPr>
        <sz val="9"/>
        <color rgb="FF0000FF"/>
        <rFont val="KaiTi"/>
        <family val="0"/>
        <charset val="1"/>
      </rPr>
      <t xml:space="preserve">/</t>
    </r>
    <r>
      <rPr>
        <sz val="9"/>
        <color rgb="FF0000FF"/>
        <rFont val="Noto Sans CJK SC"/>
        <family val="2"/>
      </rPr>
      <t xml:space="preserve">汇率的当日联动与时滞</t>
    </r>
  </si>
  <si>
    <t xml:space="preserve">时滞天数有数</t>
  </si>
  <si>
    <r>
      <rPr>
        <sz val="9"/>
        <color rgb="FF0000FF"/>
        <rFont val="KaiTi"/>
        <family val="0"/>
        <charset val="1"/>
      </rPr>
      <t xml:space="preserve">3. </t>
    </r>
    <r>
      <rPr>
        <sz val="9"/>
        <color rgb="FF0000FF"/>
        <rFont val="Noto Sans CJK SC"/>
        <family val="2"/>
      </rPr>
      <t xml:space="preserve">评估开盘竞价已反映的信息比例</t>
    </r>
  </si>
  <si>
    <t xml:space="preserve">竞价含量有估计</t>
  </si>
  <si>
    <r>
      <rPr>
        <sz val="9"/>
        <color rgb="FF0000FF"/>
        <rFont val="KaiTi"/>
        <family val="0"/>
        <charset val="1"/>
      </rPr>
      <t xml:space="preserve">4. </t>
    </r>
    <r>
      <rPr>
        <sz val="9"/>
        <color rgb="FF0000FF"/>
        <rFont val="Noto Sans CJK SC"/>
        <family val="2"/>
      </rPr>
      <t xml:space="preserve">跟踪</t>
    </r>
    <r>
      <rPr>
        <sz val="9"/>
        <color rgb="FF0000FF"/>
        <rFont val="KaiTi"/>
        <family val="0"/>
        <charset val="1"/>
      </rPr>
      <t xml:space="preserve">ADR/H</t>
    </r>
    <r>
      <rPr>
        <sz val="9"/>
        <color rgb="FF0000FF"/>
        <rFont val="Noto Sans CJK SC"/>
        <family val="2"/>
      </rPr>
      <t xml:space="preserve">股价差的历史分位</t>
    </r>
  </si>
  <si>
    <r>
      <rPr>
        <sz val="9"/>
        <color rgb="FF0000FF"/>
        <rFont val="KaiTi"/>
        <family val="0"/>
        <charset val="1"/>
      </rPr>
      <t xml:space="preserve">5. </t>
    </r>
    <r>
      <rPr>
        <sz val="9"/>
        <color rgb="FF0000FF"/>
        <rFont val="Noto Sans CJK SC"/>
        <family val="2"/>
      </rPr>
      <t xml:space="preserve">区分结构性价差与暂时性偏离</t>
    </r>
  </si>
  <si>
    <t xml:space="preserve">结构性不做均值回复</t>
  </si>
  <si>
    <r>
      <rPr>
        <b val="true"/>
        <sz val="13"/>
        <color rgb="FF1F3864"/>
        <rFont val="Noto Sans CJK SC"/>
        <family val="2"/>
      </rPr>
      <t xml:space="preserve">格局判定手册 </t>
    </r>
    <r>
      <rPr>
        <b val="true"/>
        <sz val="13"/>
        <color rgb="FF1F3864"/>
        <rFont val="KaiTi"/>
        <family val="0"/>
        <charset val="1"/>
      </rPr>
      <t xml:space="preserve">· </t>
    </r>
    <r>
      <rPr>
        <b val="true"/>
        <sz val="13"/>
        <color rgb="FF1F3864"/>
        <rFont val="Noto Sans CJK SC"/>
        <family val="2"/>
      </rPr>
      <t xml:space="preserve">格局是什么、怎么判、怎么用</t>
    </r>
  </si>
  <si>
    <r>
      <rPr>
        <i val="true"/>
        <sz val="9"/>
        <color rgb="FF7F7F7F"/>
        <rFont val="Noto Sans CJK SC"/>
        <family val="2"/>
      </rPr>
      <t xml:space="preserve">格局 </t>
    </r>
    <r>
      <rPr>
        <i val="true"/>
        <sz val="9"/>
        <color rgb="FF7F7F7F"/>
        <rFont val="KaiTi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一个环节内部「剩余利润的分配规则」及其稳定性。它决定终局 </t>
    </r>
    <r>
      <rPr>
        <i val="true"/>
        <sz val="9"/>
        <color rgb="FF7F7F7F"/>
        <rFont val="KaiTi"/>
        <family val="0"/>
        <charset val="1"/>
      </rPr>
      <t xml:space="preserve">OPM</t>
    </r>
    <r>
      <rPr>
        <i val="true"/>
        <sz val="9"/>
        <color rgb="FF7F7F7F"/>
        <rFont val="Noto Sans CJK SC"/>
        <family val="2"/>
      </rPr>
      <t xml:space="preserve">，与 </t>
    </r>
    <r>
      <rPr>
        <i val="true"/>
        <sz val="9"/>
        <color rgb="FF7F7F7F"/>
        <rFont val="KaiTi"/>
        <family val="0"/>
        <charset val="1"/>
      </rPr>
      <t xml:space="preserve">TAM </t>
    </r>
    <r>
      <rPr>
        <i val="true"/>
        <sz val="9"/>
        <color rgb="FF7F7F7F"/>
        <rFont val="Noto Sans CJK SC"/>
        <family val="2"/>
      </rPr>
      <t xml:space="preserve">几乎无关。长期研究唯一不可替代的产出就是这个判断。填 </t>
    </r>
    <r>
      <rPr>
        <i val="true"/>
        <sz val="9"/>
        <color rgb="FF7F7F7F"/>
        <rFont val="KaiTi"/>
        <family val="0"/>
        <charset val="1"/>
      </rPr>
      <t xml:space="preserve">§3 </t>
    </r>
    <r>
      <rPr>
        <i val="true"/>
        <sz val="9"/>
        <color rgb="FF7F7F7F"/>
        <rFont val="Noto Sans CJK SC"/>
        <family val="2"/>
      </rPr>
      <t xml:space="preserve">的 </t>
    </r>
    <r>
      <rPr>
        <i val="true"/>
        <sz val="9"/>
        <color rgb="FF7F7F7F"/>
        <rFont val="KaiTi"/>
        <family val="0"/>
        <charset val="1"/>
      </rPr>
      <t xml:space="preserve">24 </t>
    </r>
    <r>
      <rPr>
        <i val="true"/>
        <sz val="9"/>
        <color rgb="FF7F7F7F"/>
        <rFont val="Noto Sans CJK SC"/>
        <family val="2"/>
      </rPr>
      <t xml:space="preserve">格黄底，自动出形态 </t>
    </r>
    <r>
      <rPr>
        <i val="true"/>
        <sz val="9"/>
        <color rgb="FF7F7F7F"/>
        <rFont val="KaiTi"/>
        <family val="0"/>
        <charset val="1"/>
      </rPr>
      <t xml:space="preserve">/ </t>
    </r>
    <r>
      <rPr>
        <i val="true"/>
        <sz val="9"/>
        <color rgb="FF7F7F7F"/>
        <rFont val="Noto Sans CJK SC"/>
        <family val="2"/>
      </rPr>
      <t xml:space="preserve">终局 </t>
    </r>
    <r>
      <rPr>
        <i val="true"/>
        <sz val="9"/>
        <color rgb="FF7F7F7F"/>
        <rFont val="KaiTi"/>
        <family val="0"/>
        <charset val="1"/>
      </rPr>
      <t xml:space="preserve">OPM / </t>
    </r>
    <r>
      <rPr>
        <i val="true"/>
        <sz val="9"/>
        <color rgb="FF7F7F7F"/>
        <rFont val="Noto Sans CJK SC"/>
        <family val="2"/>
      </rPr>
      <t xml:space="preserve">估值范式上界。</t>
    </r>
  </si>
  <si>
    <r>
      <rPr>
        <b val="true"/>
        <sz val="10.5"/>
        <color rgb="FF1F3864"/>
        <rFont val="KaiTi"/>
        <family val="0"/>
        <charset val="1"/>
      </rPr>
      <t xml:space="preserve">§1 · </t>
    </r>
    <r>
      <rPr>
        <b val="true"/>
        <sz val="10.5"/>
        <color rgb="FF1F3864"/>
        <rFont val="Noto Sans CJK SC"/>
        <family val="2"/>
      </rPr>
      <t xml:space="preserve">定义与三个硬测试</t>
    </r>
  </si>
  <si>
    <t xml:space="preserve">定义</t>
  </si>
  <si>
    <r>
      <rPr>
        <sz val="9"/>
        <color rgb="FF0000FF"/>
        <rFont val="Noto Sans CJK SC"/>
        <family val="2"/>
      </rPr>
      <t xml:space="preserve">格局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一个环节内部「剩余利润在参与者之间的分配规则」，以及这个规则的稳定性。它是分配规则，不是集中度。</t>
    </r>
  </si>
  <si>
    <t xml:space="preserve">常见误解</t>
  </si>
  <si>
    <r>
      <rPr>
        <sz val="9"/>
        <color rgb="FF0000FF"/>
        <rFont val="KaiTi"/>
        <family val="0"/>
        <charset val="1"/>
      </rPr>
      <t xml:space="preserve">CR3/CR5 </t>
    </r>
    <r>
      <rPr>
        <sz val="9"/>
        <color rgb="FF0000FF"/>
        <rFont val="Noto Sans CJK SC"/>
        <family val="2"/>
      </rPr>
      <t xml:space="preserve">是格局的结果之一，不是格局本身。集中度高但无定价权的行业（多数中游制造）依然是完全竞争。</t>
    </r>
  </si>
  <si>
    <t xml:space="preserve">硬测试一</t>
  </si>
  <si>
    <r>
      <rPr>
        <sz val="9"/>
        <color rgb="FF0000FF"/>
        <rFont val="Noto Sans CJK SC"/>
        <family val="2"/>
      </rPr>
      <t xml:space="preserve">定价权归属：龙头提价后 </t>
    </r>
    <r>
      <rPr>
        <sz val="9"/>
        <color rgb="FF0000FF"/>
        <rFont val="KaiTi"/>
        <family val="0"/>
        <charset val="1"/>
      </rPr>
      <t xml:space="preserve">3 </t>
    </r>
    <r>
      <rPr>
        <sz val="9"/>
        <color rgb="FF0000FF"/>
        <rFont val="Noto Sans CJK SC"/>
        <family val="2"/>
      </rPr>
      <t xml:space="preserve">个月内，二线跟不跟？不跟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没有格局。</t>
    </r>
  </si>
  <si>
    <t xml:space="preserve">硬测试二</t>
  </si>
  <si>
    <t xml:space="preserve">下行期谁先降价：需求下行时谁能不降价。这是格局的唯一无法伪装的测试，只能在上一轮下行周期里找答案。</t>
  </si>
  <si>
    <t xml:space="preserve">硬测试三</t>
  </si>
  <si>
    <r>
      <rPr>
        <sz val="9"/>
        <color rgb="FF0000FF"/>
        <rFont val="Noto Sans CJK SC"/>
        <family val="2"/>
      </rPr>
      <t xml:space="preserve">超额利润能否穿越周期：周期底部 </t>
    </r>
    <r>
      <rPr>
        <sz val="9"/>
        <color rgb="FF0000FF"/>
        <rFont val="KaiTi"/>
        <family val="0"/>
        <charset val="1"/>
      </rPr>
      <t xml:space="preserve">ROIC </t>
    </r>
    <r>
      <rPr>
        <sz val="9"/>
        <color rgb="FF0000FF"/>
        <rFont val="Noto Sans CJK SC"/>
        <family val="2"/>
      </rPr>
      <t xml:space="preserve">是否仍 </t>
    </r>
    <r>
      <rPr>
        <sz val="9"/>
        <color rgb="FF0000FF"/>
        <rFont val="KaiTi"/>
        <family val="0"/>
        <charset val="1"/>
      </rPr>
      <t xml:space="preserve">&gt; WACC</t>
    </r>
    <r>
      <rPr>
        <sz val="9"/>
        <color rgb="FF0000FF"/>
        <rFont val="Noto Sans CJK SC"/>
        <family val="2"/>
      </rPr>
      <t xml:space="preserve">。只看均值会把大宗化行业误判成寡头。</t>
    </r>
  </si>
  <si>
    <t xml:space="preserve">为什么它是长期研究的核心</t>
  </si>
  <si>
    <r>
      <rPr>
        <sz val="9"/>
        <color rgb="FF0000FF"/>
        <rFont val="Noto Sans CJK SC"/>
        <family val="2"/>
      </rPr>
      <t xml:space="preserve">终局 </t>
    </r>
    <r>
      <rPr>
        <sz val="9"/>
        <color rgb="FF0000FF"/>
        <rFont val="KaiTi"/>
        <family val="0"/>
        <charset val="1"/>
      </rPr>
      <t xml:space="preserve">OPM </t>
    </r>
    <r>
      <rPr>
        <sz val="9"/>
        <color rgb="FF0000FF"/>
        <rFont val="Noto Sans CJK SC"/>
        <family val="2"/>
      </rPr>
      <t xml:space="preserve">由格局形态决定，几乎与 </t>
    </r>
    <r>
      <rPr>
        <sz val="9"/>
        <color rgb="FF0000FF"/>
        <rFont val="KaiTi"/>
        <family val="0"/>
        <charset val="1"/>
      </rPr>
      <t xml:space="preserve">TAM </t>
    </r>
    <r>
      <rPr>
        <sz val="9"/>
        <color rgb="FF0000FF"/>
        <rFont val="Noto Sans CJK SC"/>
        <family val="2"/>
      </rPr>
      <t xml:space="preserve">无关。</t>
    </r>
    <r>
      <rPr>
        <sz val="9"/>
        <color rgb="FF0000FF"/>
        <rFont val="KaiTi"/>
        <family val="0"/>
        <charset val="1"/>
      </rPr>
      <t xml:space="preserve">TAM </t>
    </r>
    <r>
      <rPr>
        <sz val="9"/>
        <color rgb="FF0000FF"/>
        <rFont val="Noto Sans CJK SC"/>
        <family val="2"/>
      </rPr>
      <t xml:space="preserve">决定收入天花板，格局决定这些收入里有多少能变成你的利润。</t>
    </r>
  </si>
  <si>
    <r>
      <rPr>
        <b val="true"/>
        <sz val="9"/>
        <color rgb="FF000000"/>
        <rFont val="Noto Sans CJK SC"/>
        <family val="2"/>
      </rPr>
      <t xml:space="preserve">与 </t>
    </r>
    <r>
      <rPr>
        <b val="true"/>
        <sz val="9"/>
        <color rgb="FF000000"/>
        <rFont val="KaiTi"/>
        <family val="0"/>
        <charset val="1"/>
      </rPr>
      <t xml:space="preserve">TAM </t>
    </r>
    <r>
      <rPr>
        <b val="true"/>
        <sz val="9"/>
        <color rgb="FF000000"/>
        <rFont val="Noto Sans CJK SC"/>
        <family val="2"/>
      </rPr>
      <t xml:space="preserve">的关系</t>
    </r>
  </si>
  <si>
    <r>
      <rPr>
        <sz val="9"/>
        <color rgb="FF0000FF"/>
        <rFont val="KaiTi"/>
        <family val="0"/>
        <charset val="1"/>
      </rPr>
      <t xml:space="preserve">TAM </t>
    </r>
    <r>
      <rPr>
        <sz val="9"/>
        <color rgb="FF0000FF"/>
        <rFont val="Noto Sans CJK SC"/>
        <family val="2"/>
      </rPr>
      <t xml:space="preserve">大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格局差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收入很大、利润很少（光伏组件、面板）。</t>
    </r>
    <r>
      <rPr>
        <sz val="9"/>
        <color rgb="FF0000FF"/>
        <rFont val="KaiTi"/>
        <family val="0"/>
        <charset val="1"/>
      </rPr>
      <t xml:space="preserve">TAM </t>
    </r>
    <r>
      <rPr>
        <sz val="9"/>
        <color rgb="FF0000FF"/>
        <rFont val="Noto Sans CJK SC"/>
        <family val="2"/>
      </rPr>
      <t xml:space="preserve">小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格局好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收入有限、利润丰厚（工业气体、特种材料）。</t>
    </r>
  </si>
  <si>
    <t xml:space="preserve">格局的时间属性</t>
  </si>
  <si>
    <t xml:space="preserve">格局不是静态标签，是会演化的状态。长期研究要判的不只是「当前形态」，还有「演化方向与触发条件」。</t>
  </si>
  <si>
    <t xml:space="preserve">判定顺序</t>
  </si>
  <si>
    <r>
      <rPr>
        <sz val="9"/>
        <color rgb="FF0000FF"/>
        <rFont val="Noto Sans CJK SC"/>
        <family val="2"/>
      </rPr>
      <t xml:space="preserve">先判形态（问卷）→ 得终局 </t>
    </r>
    <r>
      <rPr>
        <sz val="9"/>
        <color rgb="FF0000FF"/>
        <rFont val="KaiTi"/>
        <family val="0"/>
        <charset val="1"/>
      </rPr>
      <t xml:space="preserve">OPM </t>
    </r>
    <r>
      <rPr>
        <sz val="9"/>
        <color rgb="FF0000FF"/>
        <rFont val="Noto Sans CJK SC"/>
        <family val="2"/>
      </rPr>
      <t xml:space="preserve">区间 → 得估值范式上界 → 才能做长期估值。顺序颠倒必然高估。</t>
    </r>
  </si>
  <si>
    <r>
      <rPr>
        <b val="true"/>
        <sz val="10.5"/>
        <color rgb="FF1F3864"/>
        <rFont val="KaiTi"/>
        <family val="0"/>
        <charset val="1"/>
      </rPr>
      <t xml:space="preserve">§2 · </t>
    </r>
    <r>
      <rPr>
        <b val="true"/>
        <sz val="10.5"/>
        <color rgb="FF1F3864"/>
        <rFont val="Noto Sans CJK SC"/>
        <family val="2"/>
      </rPr>
      <t xml:space="preserve">决定格局的六个因子（第一性拆解）</t>
    </r>
  </si>
  <si>
    <t xml:space="preserve">因子</t>
  </si>
  <si>
    <t xml:space="preserve">项</t>
  </si>
  <si>
    <t xml:space="preserve">内容</t>
  </si>
  <si>
    <r>
      <rPr>
        <b val="true"/>
        <sz val="9"/>
        <color rgb="FF000000"/>
        <rFont val="KaiTi"/>
        <family val="0"/>
        <charset val="1"/>
      </rPr>
      <t xml:space="preserve">F1 </t>
    </r>
    <r>
      <rPr>
        <b val="true"/>
        <sz val="9"/>
        <color rgb="FF000000"/>
        <rFont val="Noto Sans CJK SC"/>
        <family val="2"/>
      </rPr>
      <t xml:space="preserve">进入壁垒</t>
    </r>
  </si>
  <si>
    <t xml:space="preserve">实质</t>
  </si>
  <si>
    <r>
      <rPr>
        <sz val="9"/>
        <color rgb="FF0000FF"/>
        <rFont val="Noto Sans CJK SC"/>
        <family val="2"/>
      </rPr>
      <t xml:space="preserve">资本开支强度 </t>
    </r>
    <r>
      <rPr>
        <sz val="9"/>
        <color rgb="FF0000FF"/>
        <rFont val="KaiTi"/>
        <family val="0"/>
        <charset val="1"/>
      </rPr>
      <t xml:space="preserve">× </t>
    </r>
    <r>
      <rPr>
        <sz val="9"/>
        <color rgb="FF0000FF"/>
        <rFont val="Noto Sans CJK SC"/>
        <family val="2"/>
      </rPr>
      <t xml:space="preserve">学习曲线陡度 </t>
    </r>
    <r>
      <rPr>
        <sz val="9"/>
        <color rgb="FF0000FF"/>
        <rFont val="KaiTi"/>
        <family val="0"/>
        <charset val="1"/>
      </rPr>
      <t xml:space="preserve">× </t>
    </r>
    <r>
      <rPr>
        <sz val="9"/>
        <color rgb="FF0000FF"/>
        <rFont val="Noto Sans CJK SC"/>
        <family val="2"/>
      </rPr>
      <t xml:space="preserve">认证周期 —— 三者的乘积，不是任一项</t>
    </r>
  </si>
  <si>
    <t xml:space="preserve">度量</t>
  </si>
  <si>
    <r>
      <rPr>
        <sz val="9"/>
        <color rgb="FF000000"/>
        <rFont val="Noto Sans CJK SC"/>
        <family val="2"/>
      </rPr>
      <t xml:space="preserve">最小经济规模投资额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达到龙头良率所需年数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客户认证月数</t>
    </r>
  </si>
  <si>
    <t xml:space="preserve">阈值</t>
  </si>
  <si>
    <t xml:space="preserve">三者皆高 → 寡头；仅一项高 → 壁垒会在一个资本周期内被打破</t>
  </si>
  <si>
    <t xml:space="preserve">数据源</t>
  </si>
  <si>
    <t xml:space="preserve">招股书资本开支、扩产公告、设备交期、一手渠道问认证周期</t>
  </si>
  <si>
    <t xml:space="preserve">最常见误判</t>
  </si>
  <si>
    <r>
      <rPr>
        <sz val="9"/>
        <color rgb="FF000000"/>
        <rFont val="Noto Sans CJK SC"/>
        <family val="2"/>
      </rPr>
      <t xml:space="preserve">把「技术难」当壁垒。技术难度可以被资本和时间买到；只有资本</t>
    </r>
    <r>
      <rPr>
        <sz val="9"/>
        <color rgb="FF000000"/>
        <rFont val="KaiT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时间</t>
    </r>
    <r>
      <rPr>
        <sz val="9"/>
        <color rgb="FF000000"/>
        <rFont val="KaiTi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认证三重叠加才是壁垒</t>
    </r>
  </si>
  <si>
    <r>
      <rPr>
        <b val="true"/>
        <sz val="9"/>
        <color rgb="FF000000"/>
        <rFont val="KaiTi"/>
        <family val="0"/>
        <charset val="1"/>
      </rPr>
      <t xml:space="preserve">F2 </t>
    </r>
    <r>
      <rPr>
        <b val="true"/>
        <sz val="9"/>
        <color rgb="FF000000"/>
        <rFont val="Noto Sans CJK SC"/>
        <family val="2"/>
      </rPr>
      <t xml:space="preserve">客户转换成本</t>
    </r>
  </si>
  <si>
    <t xml:space="preserve">客户切换供应商需要付出的重新设计、重新认证、重写软件的代价</t>
  </si>
  <si>
    <r>
      <rPr>
        <sz val="9"/>
        <color rgb="FF000000"/>
        <rFont val="Noto Sans CJK SC"/>
        <family val="2"/>
      </rPr>
      <t xml:space="preserve">认证周期月数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是否需重做设计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单客户份额三年波动幅度</t>
    </r>
  </si>
  <si>
    <r>
      <rPr>
        <sz val="9"/>
        <color rgb="FF000000"/>
        <rFont val="Noto Sans CJK SC"/>
        <family val="2"/>
      </rPr>
      <t xml:space="preserve">认证周期 </t>
    </r>
    <r>
      <rPr>
        <sz val="9"/>
        <color rgb="FF000000"/>
        <rFont val="KaiTi"/>
        <family val="0"/>
        <charset val="1"/>
      </rPr>
      <t xml:space="preserve">&gt;12 </t>
    </r>
    <r>
      <rPr>
        <sz val="9"/>
        <color rgb="FF000000"/>
        <rFont val="Noto Sans CJK SC"/>
        <family val="2"/>
      </rPr>
      <t xml:space="preserve">个月即为高转换成本；份额三年波动 </t>
    </r>
    <r>
      <rPr>
        <sz val="9"/>
        <color rgb="FF000000"/>
        <rFont val="KaiTi"/>
        <family val="0"/>
        <charset val="1"/>
      </rPr>
      <t xml:space="preserve">&lt;3pct </t>
    </r>
    <r>
      <rPr>
        <sz val="9"/>
        <color rgb="FF000000"/>
        <rFont val="Noto Sans CJK SC"/>
        <family val="2"/>
      </rPr>
      <t xml:space="preserve">为强黏性</t>
    </r>
  </si>
  <si>
    <t xml:space="preserve">一手渠道（问客户而非问公司）、客户招标文件、历史份额序列</t>
  </si>
  <si>
    <t xml:space="preserve">把「合作时间久」当转换成本。合作久可能只是没人来抢</t>
  </si>
  <si>
    <r>
      <rPr>
        <b val="true"/>
        <sz val="9"/>
        <color rgb="FF000000"/>
        <rFont val="KaiTi"/>
        <family val="0"/>
        <charset val="1"/>
      </rPr>
      <t xml:space="preserve">F3 </t>
    </r>
    <r>
      <rPr>
        <b val="true"/>
        <sz val="9"/>
        <color rgb="FF000000"/>
        <rFont val="Noto Sans CJK SC"/>
        <family val="2"/>
      </rPr>
      <t xml:space="preserve">差异化维度数</t>
    </r>
  </si>
  <si>
    <r>
      <rPr>
        <sz val="9"/>
        <color rgb="FF0000FF"/>
        <rFont val="Noto Sans CJK SC"/>
        <family val="2"/>
      </rPr>
      <t xml:space="preserve">客户采购决策依据几个维度。只剩价格一个维度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大宗化的定义</t>
    </r>
  </si>
  <si>
    <r>
      <rPr>
        <sz val="9"/>
        <color rgb="FF000000"/>
        <rFont val="Noto Sans CJK SC"/>
        <family val="2"/>
      </rPr>
      <t xml:space="preserve">客户采购标准的维度数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龙头相对行业均值的毛利率溢价</t>
    </r>
  </si>
  <si>
    <r>
      <rPr>
        <sz val="9"/>
        <color rgb="FF000000"/>
        <rFont val="Noto Sans CJK SC"/>
        <family val="2"/>
      </rPr>
      <t xml:space="preserve">可差异化维度 ≥</t>
    </r>
    <r>
      <rPr>
        <sz val="9"/>
        <color rgb="FF000000"/>
        <rFont val="KaiTi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才有定价空间；龙头毛利溢价 </t>
    </r>
    <r>
      <rPr>
        <sz val="9"/>
        <color rgb="FF000000"/>
        <rFont val="KaiTi"/>
        <family val="0"/>
        <charset val="1"/>
      </rPr>
      <t xml:space="preserve">&gt;15pct </t>
    </r>
    <r>
      <rPr>
        <sz val="9"/>
        <color rgb="FF000000"/>
        <rFont val="Noto Sans CJK SC"/>
        <family val="2"/>
      </rPr>
      <t xml:space="preserve">为强差异化</t>
    </r>
  </si>
  <si>
    <r>
      <rPr>
        <sz val="9"/>
        <color rgb="FF000000"/>
        <rFont val="Noto Sans CJK SC"/>
        <family val="2"/>
      </rPr>
      <t xml:space="preserve">客户招标评分表、同业毛利率横比、拆机</t>
    </r>
    <r>
      <rPr>
        <sz val="9"/>
        <color rgb="FF000000"/>
        <rFont val="KaiTi"/>
        <family val="0"/>
        <charset val="1"/>
      </rPr>
      <t xml:space="preserve">/BOM </t>
    </r>
    <r>
      <rPr>
        <sz val="9"/>
        <color rgb="FF000000"/>
        <rFont val="Noto Sans CJK SC"/>
        <family val="2"/>
      </rPr>
      <t xml:space="preserve">对比</t>
    </r>
  </si>
  <si>
    <t xml:space="preserve">把技术参数领先当差异化。客户不为不影响其成本的参数付钱</t>
  </si>
  <si>
    <r>
      <rPr>
        <b val="true"/>
        <sz val="9"/>
        <color rgb="FF000000"/>
        <rFont val="KaiTi"/>
        <family val="0"/>
        <charset val="1"/>
      </rPr>
      <t xml:space="preserve">F4 </t>
    </r>
    <r>
      <rPr>
        <b val="true"/>
        <sz val="9"/>
        <color rgb="FF000000"/>
        <rFont val="Noto Sans CJK SC"/>
        <family val="2"/>
      </rPr>
      <t xml:space="preserve">上下游相对集中度</t>
    </r>
  </si>
  <si>
    <r>
      <rPr>
        <sz val="9"/>
        <color rgb="FF0000FF"/>
        <rFont val="Noto Sans CJK SC"/>
        <family val="2"/>
      </rPr>
      <t xml:space="preserve">买方集中度 </t>
    </r>
    <r>
      <rPr>
        <sz val="9"/>
        <color rgb="FF0000FF"/>
        <rFont val="KaiTi"/>
        <family val="0"/>
        <charset val="1"/>
      </rPr>
      <t xml:space="preserve">&gt; </t>
    </r>
    <r>
      <rPr>
        <sz val="9"/>
        <color rgb="FF0000FF"/>
        <rFont val="Noto Sans CJK SC"/>
        <family val="2"/>
      </rPr>
      <t xml:space="preserve">卖方集中度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利润被结构性吸走，与你自身优秀与否无关</t>
    </r>
  </si>
  <si>
    <r>
      <rPr>
        <sz val="9"/>
        <color rgb="FF000000"/>
        <rFont val="Noto Sans CJK SC"/>
        <family val="2"/>
      </rPr>
      <t xml:space="preserve">前五大客户占比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客户环节 </t>
    </r>
    <r>
      <rPr>
        <sz val="9"/>
        <color rgb="FF000000"/>
        <rFont val="KaiTi"/>
        <family val="0"/>
        <charset val="1"/>
      </rPr>
      <t xml:space="preserve">CR5 vs </t>
    </r>
    <r>
      <rPr>
        <sz val="9"/>
        <color rgb="FF000000"/>
        <rFont val="Noto Sans CJK SC"/>
        <family val="2"/>
      </rPr>
      <t xml:space="preserve">本环节 </t>
    </r>
    <r>
      <rPr>
        <sz val="9"/>
        <color rgb="FF000000"/>
        <rFont val="KaiTi"/>
        <family val="0"/>
        <charset val="1"/>
      </rPr>
      <t xml:space="preserve">CR5 / </t>
    </r>
    <r>
      <rPr>
        <sz val="9"/>
        <color rgb="FF000000"/>
        <rFont val="Noto Sans CJK SC"/>
        <family val="2"/>
      </rPr>
      <t xml:space="preserve">你占客户 </t>
    </r>
    <r>
      <rPr>
        <sz val="9"/>
        <color rgb="FF000000"/>
        <rFont val="KaiTi"/>
        <family val="0"/>
        <charset val="1"/>
      </rPr>
      <t xml:space="preserve">BOM </t>
    </r>
    <r>
      <rPr>
        <sz val="9"/>
        <color rgb="FF000000"/>
        <rFont val="Noto Sans CJK SC"/>
        <family val="2"/>
      </rPr>
      <t xml:space="preserve">比重</t>
    </r>
  </si>
  <si>
    <r>
      <rPr>
        <sz val="9"/>
        <color rgb="FF000000"/>
        <rFont val="Noto Sans CJK SC"/>
        <family val="2"/>
      </rPr>
      <t xml:space="preserve">前五大 </t>
    </r>
    <r>
      <rPr>
        <sz val="9"/>
        <color rgb="FF000000"/>
        <rFont val="KaiTi"/>
        <family val="0"/>
        <charset val="1"/>
      </rPr>
      <t xml:space="preserve">&gt;60% </t>
    </r>
    <r>
      <rPr>
        <sz val="9"/>
        <color rgb="FF000000"/>
        <rFont val="Noto Sans CJK SC"/>
        <family val="2"/>
      </rPr>
      <t xml:space="preserve">为高危；占客户 </t>
    </r>
    <r>
      <rPr>
        <sz val="9"/>
        <color rgb="FF000000"/>
        <rFont val="KaiTi"/>
        <family val="0"/>
        <charset val="1"/>
      </rPr>
      <t xml:space="preserve">BOM &gt;15% </t>
    </r>
    <r>
      <rPr>
        <sz val="9"/>
        <color rgb="FF000000"/>
        <rFont val="Noto Sans CJK SC"/>
        <family val="2"/>
      </rPr>
      <t xml:space="preserve">时客户自研动机强</t>
    </r>
  </si>
  <si>
    <r>
      <rPr>
        <sz val="9"/>
        <color rgb="FF000000"/>
        <rFont val="Noto Sans CJK SC"/>
        <family val="2"/>
      </rPr>
      <t xml:space="preserve">财报客户集中度、拆解客户成本结构、产业链 </t>
    </r>
    <r>
      <rPr>
        <sz val="9"/>
        <color rgb="FF000000"/>
        <rFont val="KaiTi"/>
        <family val="0"/>
        <charset val="1"/>
      </rPr>
      <t xml:space="preserve">CR5 </t>
    </r>
    <r>
      <rPr>
        <sz val="9"/>
        <color rgb="FF000000"/>
        <rFont val="Noto Sans CJK SC"/>
        <family val="2"/>
      </rPr>
      <t xml:space="preserve">横比</t>
    </r>
  </si>
  <si>
    <t xml:space="preserve">只看自己环节的集中度，忽略客户比你更集中这件事</t>
  </si>
  <si>
    <r>
      <rPr>
        <b val="true"/>
        <sz val="9"/>
        <color rgb="FF000000"/>
        <rFont val="KaiTi"/>
        <family val="0"/>
        <charset val="1"/>
      </rPr>
      <t xml:space="preserve">F5 </t>
    </r>
    <r>
      <rPr>
        <b val="true"/>
        <sz val="9"/>
        <color rgb="FF000000"/>
        <rFont val="Noto Sans CJK SC"/>
        <family val="2"/>
      </rPr>
      <t xml:space="preserve">产能可分割性</t>
    </r>
  </si>
  <si>
    <t xml:space="preserve">能否小步扩产。可小步扩 → 供给容易过剩；必须整厂上 → 供给天然受约束</t>
  </si>
  <si>
    <r>
      <rPr>
        <sz val="9"/>
        <color rgb="FF000000"/>
        <rFont val="Noto Sans CJK SC"/>
        <family val="2"/>
      </rPr>
      <t xml:space="preserve">最小经济规模占行业总量比重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决定扩产到出货的月数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关键设备交期</t>
    </r>
  </si>
  <si>
    <r>
      <rPr>
        <sz val="9"/>
        <color rgb="FF000000"/>
        <rFont val="Noto Sans CJK SC"/>
        <family val="2"/>
      </rPr>
      <t xml:space="preserve">扩产周期 </t>
    </r>
    <r>
      <rPr>
        <sz val="9"/>
        <color rgb="FF000000"/>
        <rFont val="KaiTi"/>
        <family val="0"/>
        <charset val="1"/>
      </rPr>
      <t xml:space="preserve">&gt;24 </t>
    </r>
    <r>
      <rPr>
        <sz val="9"/>
        <color rgb="FF000000"/>
        <rFont val="Noto Sans CJK SC"/>
        <family val="2"/>
      </rPr>
      <t xml:space="preserve">个月且设备交期 </t>
    </r>
    <r>
      <rPr>
        <sz val="9"/>
        <color rgb="FF000000"/>
        <rFont val="KaiTi"/>
        <family val="0"/>
        <charset val="1"/>
      </rPr>
      <t xml:space="preserve">&gt;18 </t>
    </r>
    <r>
      <rPr>
        <sz val="9"/>
        <color rgb="FF000000"/>
        <rFont val="Noto Sans CJK SC"/>
        <family val="2"/>
      </rPr>
      <t xml:space="preserve">个月 </t>
    </r>
    <r>
      <rPr>
        <sz val="9"/>
        <color rgb="FF000000"/>
        <rFont val="KaiTi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供给硬约束</t>
    </r>
  </si>
  <si>
    <t xml:space="preserve">设备商订单与交期、项目环评公告、历史扩产周期</t>
  </si>
  <si>
    <t xml:space="preserve">忽略最小经济规模。模块化产能的行业永远无法维持高利润</t>
  </si>
  <si>
    <r>
      <rPr>
        <b val="true"/>
        <sz val="9"/>
        <color rgb="FF000000"/>
        <rFont val="KaiTi"/>
        <family val="0"/>
        <charset val="1"/>
      </rPr>
      <t xml:space="preserve">F6 </t>
    </r>
    <r>
      <rPr>
        <b val="true"/>
        <sz val="9"/>
        <color rgb="FF000000"/>
        <rFont val="Noto Sans CJK SC"/>
        <family val="2"/>
      </rPr>
      <t xml:space="preserve">外生资本</t>
    </r>
    <r>
      <rPr>
        <b val="true"/>
        <sz val="9"/>
        <color rgb="FF000000"/>
        <rFont val="KaiTi"/>
        <family val="0"/>
        <charset val="1"/>
      </rPr>
      <t xml:space="preserve">/</t>
    </r>
    <r>
      <rPr>
        <b val="true"/>
        <sz val="9"/>
        <color rgb="FF000000"/>
        <rFont val="Noto Sans CJK SC"/>
        <family val="2"/>
      </rPr>
      <t xml:space="preserve">政策扰动</t>
    </r>
  </si>
  <si>
    <t xml:space="preserve">补贴、地方招商、一级热钱会人为压低壁垒，把本该是寡头的行业打成完全竞争</t>
  </si>
  <si>
    <r>
      <rPr>
        <sz val="9"/>
        <color rgb="FF000000"/>
        <rFont val="Noto Sans CJK SC"/>
        <family val="2"/>
      </rPr>
      <t xml:space="preserve">地方招商目录数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一级市场同赛道融资笔数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直接补贴规模 </t>
    </r>
    <r>
      <rPr>
        <sz val="9"/>
        <color rgb="FF000000"/>
        <rFont val="KaiTi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上一轮出清充分度</t>
    </r>
  </si>
  <si>
    <r>
      <rPr>
        <sz val="9"/>
        <color rgb="FF000000"/>
        <rFont val="Noto Sans CJK SC"/>
        <family val="2"/>
      </rPr>
      <t xml:space="preserve">一级融资 </t>
    </r>
    <r>
      <rPr>
        <sz val="9"/>
        <color rgb="FF000000"/>
        <rFont val="KaiTi"/>
        <family val="0"/>
        <charset val="1"/>
      </rPr>
      <t xml:space="preserve">&gt;20 </t>
    </r>
    <r>
      <rPr>
        <sz val="9"/>
        <color rgb="FF000000"/>
        <rFont val="Noto Sans CJK SC"/>
        <family val="2"/>
      </rPr>
      <t xml:space="preserve">笔或多地争抢招商 </t>
    </r>
    <r>
      <rPr>
        <sz val="9"/>
        <color rgb="FF000000"/>
        <rFont val="KaiTi"/>
        <family val="0"/>
        <charset val="1"/>
      </rPr>
      <t xml:space="preserve">= </t>
    </r>
    <r>
      <rPr>
        <sz val="9"/>
        <color rgb="FF000000"/>
        <rFont val="Noto Sans CJK SC"/>
        <family val="2"/>
      </rPr>
      <t xml:space="preserve">格局将在 </t>
    </r>
    <r>
      <rPr>
        <sz val="9"/>
        <color rgb="FF000000"/>
        <rFont val="KaiTi"/>
        <family val="0"/>
        <charset val="1"/>
      </rPr>
      <t xml:space="preserve">12–18 </t>
    </r>
    <r>
      <rPr>
        <sz val="9"/>
        <color rgb="FF000000"/>
        <rFont val="Noto Sans CJK SC"/>
        <family val="2"/>
      </rPr>
      <t xml:space="preserve">个月内劣化</t>
    </r>
  </si>
  <si>
    <t xml:space="preserve">地方政府文件、融资数据库、补贴公告、历史出清记录</t>
  </si>
  <si>
    <r>
      <rPr>
        <sz val="9"/>
        <color rgb="FF000000"/>
        <rFont val="Noto Sans CJK SC"/>
        <family val="2"/>
      </rPr>
      <t xml:space="preserve">用海外格局直接套 </t>
    </r>
    <r>
      <rPr>
        <sz val="9"/>
        <color rgb="FF000000"/>
        <rFont val="KaiTi"/>
        <family val="0"/>
        <charset val="1"/>
      </rPr>
      <t xml:space="preserve">A </t>
    </r>
    <r>
      <rPr>
        <sz val="9"/>
        <color rgb="FF000000"/>
        <rFont val="Noto Sans CJK SC"/>
        <family val="2"/>
      </rPr>
      <t xml:space="preserve">股。同一行业 </t>
    </r>
    <r>
      <rPr>
        <sz val="9"/>
        <color rgb="FF000000"/>
        <rFont val="KaiTi"/>
        <family val="0"/>
        <charset val="1"/>
      </rPr>
      <t xml:space="preserve">A </t>
    </r>
    <r>
      <rPr>
        <sz val="9"/>
        <color rgb="FF000000"/>
        <rFont val="Noto Sans CJK SC"/>
        <family val="2"/>
      </rPr>
      <t xml:space="preserve">股格局通常比海外差 </t>
    </r>
    <r>
      <rPr>
        <sz val="9"/>
        <color rgb="FF000000"/>
        <rFont val="KaiTi"/>
        <family val="0"/>
        <charset val="1"/>
      </rPr>
      <t xml:space="preserve">1–2 </t>
    </r>
    <r>
      <rPr>
        <sz val="9"/>
        <color rgb="FF000000"/>
        <rFont val="Noto Sans CJK SC"/>
        <family val="2"/>
      </rPr>
      <t xml:space="preserve">档</t>
    </r>
  </si>
  <si>
    <r>
      <rPr>
        <b val="true"/>
        <sz val="10.5"/>
        <color rgb="FF1F3864"/>
        <rFont val="KaiTi"/>
        <family val="0"/>
        <charset val="1"/>
      </rPr>
      <t xml:space="preserve">§3 · </t>
    </r>
    <r>
      <rPr>
        <b val="true"/>
        <sz val="10.5"/>
        <color rgb="FF1F3864"/>
        <rFont val="Noto Sans CJK SC"/>
        <family val="2"/>
      </rPr>
      <t xml:space="preserve">格局判定问卷（</t>
    </r>
    <r>
      <rPr>
        <b val="true"/>
        <sz val="10.5"/>
        <color rgb="FF1F3864"/>
        <rFont val="KaiTi"/>
        <family val="0"/>
        <charset val="1"/>
      </rPr>
      <t xml:space="preserve">24 </t>
    </r>
    <r>
      <rPr>
        <b val="true"/>
        <sz val="10.5"/>
        <color rgb="FF1F3864"/>
        <rFont val="Noto Sans CJK SC"/>
        <family val="2"/>
      </rPr>
      <t xml:space="preserve">题，每题 </t>
    </r>
    <r>
      <rPr>
        <b val="true"/>
        <sz val="10.5"/>
        <color rgb="FF1F3864"/>
        <rFont val="KaiTi"/>
        <family val="0"/>
        <charset val="1"/>
      </rPr>
      <t xml:space="preserve">0 / 1 / 2 </t>
    </r>
    <r>
      <rPr>
        <b val="true"/>
        <sz val="10.5"/>
        <color rgb="FF1F3864"/>
        <rFont val="Noto Sans CJK SC"/>
        <family val="2"/>
      </rPr>
      <t xml:space="preserve">分，填 </t>
    </r>
    <r>
      <rPr>
        <b val="true"/>
        <sz val="10.5"/>
        <color rgb="FF1F3864"/>
        <rFont val="KaiTi"/>
        <family val="0"/>
        <charset val="1"/>
      </rPr>
      <t xml:space="preserve">D </t>
    </r>
    <r>
      <rPr>
        <b val="true"/>
        <sz val="10.5"/>
        <color rgb="FF1F3864"/>
        <rFont val="Noto Sans CJK SC"/>
        <family val="2"/>
      </rPr>
      <t xml:space="preserve">列黄底）</t>
    </r>
  </si>
  <si>
    <t xml:space="preserve">题号</t>
  </si>
  <si>
    <t xml:space="preserve">问题</t>
  </si>
  <si>
    <t xml:space="preserve">得分</t>
  </si>
  <si>
    <r>
      <rPr>
        <b val="true"/>
        <sz val="9.5"/>
        <color rgb="FFFFFFFF"/>
        <rFont val="KaiTi"/>
        <family val="0"/>
        <charset val="1"/>
      </rPr>
      <t xml:space="preserve">0 </t>
    </r>
    <r>
      <rPr>
        <b val="true"/>
        <sz val="9.5"/>
        <color rgb="FFFFFFFF"/>
        <rFont val="Noto Sans CJK SC"/>
        <family val="2"/>
      </rPr>
      <t xml:space="preserve">分</t>
    </r>
  </si>
  <si>
    <r>
      <rPr>
        <b val="true"/>
        <sz val="9.5"/>
        <color rgb="FFFFFFFF"/>
        <rFont val="KaiTi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分</t>
    </r>
  </si>
  <si>
    <r>
      <rPr>
        <b val="true"/>
        <sz val="9.5"/>
        <color rgb="FFFFFFFF"/>
        <rFont val="KaiTi"/>
        <family val="0"/>
        <charset val="1"/>
      </rPr>
      <t xml:space="preserve">2 </t>
    </r>
    <r>
      <rPr>
        <b val="true"/>
        <sz val="9.5"/>
        <color rgb="FFFFFFFF"/>
        <rFont val="Noto Sans CJK SC"/>
        <family val="2"/>
      </rPr>
      <t xml:space="preserve">分</t>
    </r>
  </si>
  <si>
    <t xml:space="preserve">辅助｜六因子分</t>
  </si>
  <si>
    <r>
      <rPr>
        <b val="true"/>
        <sz val="8.5"/>
        <color rgb="FF000000"/>
        <rFont val="KaiTi"/>
        <family val="0"/>
        <charset val="1"/>
      </rPr>
      <t xml:space="preserve">F1 </t>
    </r>
    <r>
      <rPr>
        <b val="true"/>
        <sz val="8.5"/>
        <color rgb="FF000000"/>
        <rFont val="Noto Sans CJK SC"/>
        <family val="2"/>
      </rPr>
      <t xml:space="preserve">进入壁垒</t>
    </r>
  </si>
  <si>
    <t xml:space="preserve">Q1</t>
  </si>
  <si>
    <t xml:space="preserve">单条产线的最小经济规模投资额</t>
  </si>
  <si>
    <r>
      <rPr>
        <sz val="8.5"/>
        <color rgb="FF7F7F7F"/>
        <rFont val="KaiTi"/>
        <family val="0"/>
        <charset val="1"/>
      </rPr>
      <t xml:space="preserve">&lt; 5 </t>
    </r>
    <r>
      <rPr>
        <sz val="8.5"/>
        <color rgb="FF7F7F7F"/>
        <rFont val="Noto Sans CJK SC"/>
        <family val="2"/>
      </rPr>
      <t xml:space="preserve">亿</t>
    </r>
  </si>
  <si>
    <r>
      <rPr>
        <sz val="8.5"/>
        <color rgb="FF7F7F7F"/>
        <rFont val="KaiTi"/>
        <family val="0"/>
        <charset val="1"/>
      </rPr>
      <t xml:space="preserve">5–50 </t>
    </r>
    <r>
      <rPr>
        <sz val="8.5"/>
        <color rgb="FF7F7F7F"/>
        <rFont val="Noto Sans CJK SC"/>
        <family val="2"/>
      </rPr>
      <t xml:space="preserve">亿</t>
    </r>
  </si>
  <si>
    <r>
      <rPr>
        <sz val="8.5"/>
        <color rgb="FF7F7F7F"/>
        <rFont val="KaiTi"/>
        <family val="0"/>
        <charset val="1"/>
      </rPr>
      <t xml:space="preserve">&gt; 50 </t>
    </r>
    <r>
      <rPr>
        <sz val="8.5"/>
        <color rgb="FF7F7F7F"/>
        <rFont val="Noto Sans CJK SC"/>
        <family val="2"/>
      </rPr>
      <t xml:space="preserve">亿</t>
    </r>
  </si>
  <si>
    <r>
      <rPr>
        <sz val="8.5"/>
        <color rgb="FF7F7F7F"/>
        <rFont val="KaiTi"/>
        <family val="0"/>
        <charset val="1"/>
      </rPr>
      <t xml:space="preserve">F1 </t>
    </r>
    <r>
      <rPr>
        <sz val="8.5"/>
        <color rgb="FF7F7F7F"/>
        <rFont val="Noto Sans CJK SC"/>
        <family val="2"/>
      </rPr>
      <t xml:space="preserve">进入壁垒</t>
    </r>
  </si>
  <si>
    <t xml:space="preserve">Q2</t>
  </si>
  <si>
    <t xml:space="preserve">新进入者从建成到达到龙头良率需多久</t>
  </si>
  <si>
    <r>
      <rPr>
        <sz val="8.5"/>
        <color rgb="FF7F7F7F"/>
        <rFont val="KaiTi"/>
        <family val="0"/>
        <charset val="1"/>
      </rPr>
      <t xml:space="preserve">&lt; 1 </t>
    </r>
    <r>
      <rPr>
        <sz val="8.5"/>
        <color rgb="FF7F7F7F"/>
        <rFont val="Noto Sans CJK SC"/>
        <family val="2"/>
      </rPr>
      <t xml:space="preserve">年</t>
    </r>
  </si>
  <si>
    <r>
      <rPr>
        <sz val="8.5"/>
        <color rgb="FF7F7F7F"/>
        <rFont val="KaiTi"/>
        <family val="0"/>
        <charset val="1"/>
      </rPr>
      <t xml:space="preserve">1–3 </t>
    </r>
    <r>
      <rPr>
        <sz val="8.5"/>
        <color rgb="FF7F7F7F"/>
        <rFont val="Noto Sans CJK SC"/>
        <family val="2"/>
      </rPr>
      <t xml:space="preserve">年</t>
    </r>
  </si>
  <si>
    <r>
      <rPr>
        <sz val="8.5"/>
        <color rgb="FF7F7F7F"/>
        <rFont val="KaiTi"/>
        <family val="0"/>
        <charset val="1"/>
      </rPr>
      <t xml:space="preserve">&gt; 3 </t>
    </r>
    <r>
      <rPr>
        <sz val="8.5"/>
        <color rgb="FF7F7F7F"/>
        <rFont val="Noto Sans CJK SC"/>
        <family val="2"/>
      </rPr>
      <t xml:space="preserve">年</t>
    </r>
  </si>
  <si>
    <r>
      <rPr>
        <sz val="8.5"/>
        <color rgb="FF7F7F7F"/>
        <rFont val="KaiTi"/>
        <family val="0"/>
        <charset val="1"/>
      </rPr>
      <t xml:space="preserve">F2 </t>
    </r>
    <r>
      <rPr>
        <sz val="8.5"/>
        <color rgb="FF7F7F7F"/>
        <rFont val="Noto Sans CJK SC"/>
        <family val="2"/>
      </rPr>
      <t xml:space="preserve">转换成本</t>
    </r>
  </si>
  <si>
    <t xml:space="preserve">Q3</t>
  </si>
  <si>
    <t xml:space="preserve">下游客户的认证周期</t>
  </si>
  <si>
    <r>
      <rPr>
        <sz val="8.5"/>
        <color rgb="FF7F7F7F"/>
        <rFont val="KaiTi"/>
        <family val="0"/>
        <charset val="1"/>
      </rPr>
      <t xml:space="preserve">&lt; 6 </t>
    </r>
    <r>
      <rPr>
        <sz val="8.5"/>
        <color rgb="FF7F7F7F"/>
        <rFont val="Noto Sans CJK SC"/>
        <family val="2"/>
      </rPr>
      <t xml:space="preserve">个月</t>
    </r>
  </si>
  <si>
    <r>
      <rPr>
        <sz val="8.5"/>
        <color rgb="FF7F7F7F"/>
        <rFont val="KaiTi"/>
        <family val="0"/>
        <charset val="1"/>
      </rPr>
      <t xml:space="preserve">6–18 </t>
    </r>
    <r>
      <rPr>
        <sz val="8.5"/>
        <color rgb="FF7F7F7F"/>
        <rFont val="Noto Sans CJK SC"/>
        <family val="2"/>
      </rPr>
      <t xml:space="preserve">个月</t>
    </r>
  </si>
  <si>
    <r>
      <rPr>
        <sz val="8.5"/>
        <color rgb="FF7F7F7F"/>
        <rFont val="KaiTi"/>
        <family val="0"/>
        <charset val="1"/>
      </rPr>
      <t xml:space="preserve">&gt; 18 </t>
    </r>
    <r>
      <rPr>
        <sz val="8.5"/>
        <color rgb="FF7F7F7F"/>
        <rFont val="Noto Sans CJK SC"/>
        <family val="2"/>
      </rPr>
      <t xml:space="preserve">个月</t>
    </r>
  </si>
  <si>
    <r>
      <rPr>
        <sz val="8.5"/>
        <color rgb="FF7F7F7F"/>
        <rFont val="KaiTi"/>
        <family val="0"/>
        <charset val="1"/>
      </rPr>
      <t xml:space="preserve">F3 </t>
    </r>
    <r>
      <rPr>
        <sz val="8.5"/>
        <color rgb="FF7F7F7F"/>
        <rFont val="Noto Sans CJK SC"/>
        <family val="2"/>
      </rPr>
      <t xml:space="preserve">差异化</t>
    </r>
  </si>
  <si>
    <t xml:space="preserve">Q4</t>
  </si>
  <si>
    <r>
      <rPr>
        <sz val="9"/>
        <color rgb="FF000000"/>
        <rFont val="Noto Sans CJK SC"/>
        <family val="2"/>
      </rPr>
      <t xml:space="preserve">过去 </t>
    </r>
    <r>
      <rPr>
        <sz val="9"/>
        <color rgb="FF000000"/>
        <rFont val="KaiTi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年是否有新进入者拿到 </t>
    </r>
    <r>
      <rPr>
        <sz val="9"/>
        <color rgb="FF000000"/>
        <rFont val="KaiTi"/>
        <family val="0"/>
        <charset val="1"/>
      </rPr>
      <t xml:space="preserve">&gt;5% </t>
    </r>
    <r>
      <rPr>
        <sz val="9"/>
        <color rgb="FF000000"/>
        <rFont val="Noto Sans CJK SC"/>
        <family val="2"/>
      </rPr>
      <t xml:space="preserve">份额</t>
    </r>
  </si>
  <si>
    <t xml:space="preserve">有多个</t>
  </si>
  <si>
    <r>
      <rPr>
        <sz val="8.5"/>
        <color rgb="FF7F7F7F"/>
        <rFont val="Noto Sans CJK SC"/>
        <family val="2"/>
      </rPr>
      <t xml:space="preserve">有 </t>
    </r>
    <r>
      <rPr>
        <sz val="8.5"/>
        <color rgb="FF7F7F7F"/>
        <rFont val="KaiTi"/>
        <family val="0"/>
        <charset val="1"/>
      </rPr>
      <t xml:space="preserve">1 </t>
    </r>
    <r>
      <rPr>
        <sz val="8.5"/>
        <color rgb="FF7F7F7F"/>
        <rFont val="Noto Sans CJK SC"/>
        <family val="2"/>
      </rPr>
      <t xml:space="preserve">个</t>
    </r>
  </si>
  <si>
    <t xml:space="preserve">没有</t>
  </si>
  <si>
    <r>
      <rPr>
        <sz val="8.5"/>
        <color rgb="FF7F7F7F"/>
        <rFont val="KaiTi"/>
        <family val="0"/>
        <charset val="1"/>
      </rPr>
      <t xml:space="preserve">F4 </t>
    </r>
    <r>
      <rPr>
        <sz val="8.5"/>
        <color rgb="FF7F7F7F"/>
        <rFont val="Noto Sans CJK SC"/>
        <family val="2"/>
      </rPr>
      <t xml:space="preserve">上下游</t>
    </r>
  </si>
  <si>
    <r>
      <rPr>
        <b val="true"/>
        <sz val="8.5"/>
        <color rgb="FF000000"/>
        <rFont val="KaiTi"/>
        <family val="0"/>
        <charset val="1"/>
      </rPr>
      <t xml:space="preserve">F2 </t>
    </r>
    <r>
      <rPr>
        <b val="true"/>
        <sz val="8.5"/>
        <color rgb="FF000000"/>
        <rFont val="Noto Sans CJK SC"/>
        <family val="2"/>
      </rPr>
      <t xml:space="preserve">转换成本</t>
    </r>
  </si>
  <si>
    <t xml:space="preserve">Q5</t>
  </si>
  <si>
    <r>
      <rPr>
        <sz val="9"/>
        <color rgb="FF000000"/>
        <rFont val="Noto Sans CJK SC"/>
        <family val="2"/>
      </rPr>
      <t xml:space="preserve">客户切换供应商是否需重新设计</t>
    </r>
    <r>
      <rPr>
        <sz val="9"/>
        <color rgb="FF000000"/>
        <rFont val="KaiT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重写软件</t>
    </r>
  </si>
  <si>
    <t xml:space="preserve">不需要</t>
  </si>
  <si>
    <t xml:space="preserve">需小改</t>
  </si>
  <si>
    <t xml:space="preserve">需重做</t>
  </si>
  <si>
    <r>
      <rPr>
        <sz val="8.5"/>
        <color rgb="FF7F7F7F"/>
        <rFont val="KaiTi"/>
        <family val="0"/>
        <charset val="1"/>
      </rPr>
      <t xml:space="preserve">F5 </t>
    </r>
    <r>
      <rPr>
        <sz val="8.5"/>
        <color rgb="FF7F7F7F"/>
        <rFont val="Noto Sans CJK SC"/>
        <family val="2"/>
      </rPr>
      <t xml:space="preserve">产能弹性</t>
    </r>
  </si>
  <si>
    <t xml:space="preserve">Q6</t>
  </si>
  <si>
    <r>
      <rPr>
        <sz val="9"/>
        <color rgb="FF000000"/>
        <rFont val="Noto Sans CJK SC"/>
        <family val="2"/>
      </rPr>
      <t xml:space="preserve">产品是否嵌入客户的平台</t>
    </r>
    <r>
      <rPr>
        <sz val="9"/>
        <color rgb="FF000000"/>
        <rFont val="KaiT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生态</t>
    </r>
  </si>
  <si>
    <t xml:space="preserve">独立标品</t>
  </si>
  <si>
    <t xml:space="preserve">部分耦合</t>
  </si>
  <si>
    <t xml:space="preserve">深度嵌入</t>
  </si>
  <si>
    <r>
      <rPr>
        <sz val="8.5"/>
        <color rgb="FF7F7F7F"/>
        <rFont val="KaiTi"/>
        <family val="0"/>
        <charset val="1"/>
      </rPr>
      <t xml:space="preserve">F6 </t>
    </r>
    <r>
      <rPr>
        <sz val="8.5"/>
        <color rgb="FF7F7F7F"/>
        <rFont val="Noto Sans CJK SC"/>
        <family val="2"/>
      </rPr>
      <t xml:space="preserve">外生扰动</t>
    </r>
  </si>
  <si>
    <t xml:space="preserve">Q7</t>
  </si>
  <si>
    <t xml:space="preserve">单一客户处的份额三年波动幅度</t>
  </si>
  <si>
    <t xml:space="preserve">&gt; 10pct</t>
  </si>
  <si>
    <t xml:space="preserve">3–10pct</t>
  </si>
  <si>
    <t xml:space="preserve">&lt; 3pct</t>
  </si>
  <si>
    <t xml:space="preserve">Q8</t>
  </si>
  <si>
    <t xml:space="preserve">客户的供应商策略</t>
  </si>
  <si>
    <t xml:space="preserve">多供且轮换</t>
  </si>
  <si>
    <t xml:space="preserve">双供</t>
  </si>
  <si>
    <t xml:space="preserve">单供或主供稳定</t>
  </si>
  <si>
    <r>
      <rPr>
        <b val="true"/>
        <sz val="8.5"/>
        <color rgb="FF000000"/>
        <rFont val="KaiTi"/>
        <family val="0"/>
        <charset val="1"/>
      </rPr>
      <t xml:space="preserve">F3 </t>
    </r>
    <r>
      <rPr>
        <b val="true"/>
        <sz val="8.5"/>
        <color rgb="FF000000"/>
        <rFont val="Noto Sans CJK SC"/>
        <family val="2"/>
      </rPr>
      <t xml:space="preserve">差异化</t>
    </r>
  </si>
  <si>
    <t xml:space="preserve">Q9</t>
  </si>
  <si>
    <t xml:space="preserve">客户采购决策依据几个维度</t>
  </si>
  <si>
    <t xml:space="preserve">只看价格</t>
  </si>
  <si>
    <r>
      <rPr>
        <sz val="8.5"/>
        <color rgb="FF7F7F7F"/>
        <rFont val="KaiTi"/>
        <family val="0"/>
        <charset val="1"/>
      </rPr>
      <t xml:space="preserve">2 </t>
    </r>
    <r>
      <rPr>
        <sz val="8.5"/>
        <color rgb="FF7F7F7F"/>
        <rFont val="Noto Sans CJK SC"/>
        <family val="2"/>
      </rPr>
      <t xml:space="preserve">个</t>
    </r>
  </si>
  <si>
    <r>
      <rPr>
        <sz val="8.5"/>
        <color rgb="FF7F7F7F"/>
        <rFont val="KaiTi"/>
        <family val="0"/>
        <charset val="1"/>
      </rPr>
      <t xml:space="preserve">≥ 3 </t>
    </r>
    <r>
      <rPr>
        <sz val="8.5"/>
        <color rgb="FF7F7F7F"/>
        <rFont val="Noto Sans CJK SC"/>
        <family val="2"/>
      </rPr>
      <t xml:space="preserve">个</t>
    </r>
  </si>
  <si>
    <t xml:space="preserve">Q10</t>
  </si>
  <si>
    <t xml:space="preserve">龙头与二线是否有可量化的性能差</t>
  </si>
  <si>
    <t xml:space="preserve">无差异</t>
  </si>
  <si>
    <t xml:space="preserve">小幅差异</t>
  </si>
  <si>
    <t xml:space="preserve">代际差异</t>
  </si>
  <si>
    <t xml:space="preserve">Q11</t>
  </si>
  <si>
    <t xml:space="preserve">龙头毛利率相对行业均值的溢价</t>
  </si>
  <si>
    <t xml:space="preserve">&lt; 5pct</t>
  </si>
  <si>
    <t xml:space="preserve">5–15pct</t>
  </si>
  <si>
    <t xml:space="preserve">&gt; 15pct</t>
  </si>
  <si>
    <t xml:space="preserve">Q12</t>
  </si>
  <si>
    <r>
      <rPr>
        <sz val="9"/>
        <color rgb="FF000000"/>
        <rFont val="Noto Sans CJK SC"/>
        <family val="2"/>
      </rPr>
      <t xml:space="preserve">是否存在客户愿付费的品牌</t>
    </r>
    <r>
      <rPr>
        <sz val="9"/>
        <color rgb="FF000000"/>
        <rFont val="KaiT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可靠性溢价</t>
    </r>
  </si>
  <si>
    <t xml:space="preserve">无</t>
  </si>
  <si>
    <t xml:space="preserve">弱</t>
  </si>
  <si>
    <t xml:space="preserve">强</t>
  </si>
  <si>
    <r>
      <rPr>
        <b val="true"/>
        <sz val="8.5"/>
        <color rgb="FF000000"/>
        <rFont val="KaiTi"/>
        <family val="0"/>
        <charset val="1"/>
      </rPr>
      <t xml:space="preserve">F4 </t>
    </r>
    <r>
      <rPr>
        <b val="true"/>
        <sz val="8.5"/>
        <color rgb="FF000000"/>
        <rFont val="Noto Sans CJK SC"/>
        <family val="2"/>
      </rPr>
      <t xml:space="preserve">上下游</t>
    </r>
  </si>
  <si>
    <t xml:space="preserve">Q13</t>
  </si>
  <si>
    <t xml:space="preserve">前五大客户占你收入比重</t>
  </si>
  <si>
    <t xml:space="preserve">&gt; 60%</t>
  </si>
  <si>
    <t xml:space="preserve">30–60%</t>
  </si>
  <si>
    <t xml:space="preserve">&lt; 30%</t>
  </si>
  <si>
    <t xml:space="preserve">Q14</t>
  </si>
  <si>
    <r>
      <rPr>
        <sz val="9"/>
        <color rgb="FF000000"/>
        <rFont val="Noto Sans CJK SC"/>
        <family val="2"/>
      </rPr>
      <t xml:space="preserve">客户环节 </t>
    </r>
    <r>
      <rPr>
        <sz val="9"/>
        <color rgb="FF000000"/>
        <rFont val="KaiTi"/>
        <family val="0"/>
        <charset val="1"/>
      </rPr>
      <t xml:space="preserve">CR5 </t>
    </r>
    <r>
      <rPr>
        <sz val="9"/>
        <color rgb="FF000000"/>
        <rFont val="Noto Sans CJK SC"/>
        <family val="2"/>
      </rPr>
      <t xml:space="preserve">与本环节 </t>
    </r>
    <r>
      <rPr>
        <sz val="9"/>
        <color rgb="FF000000"/>
        <rFont val="KaiTi"/>
        <family val="0"/>
        <charset val="1"/>
      </rPr>
      <t xml:space="preserve">CR5 </t>
    </r>
    <r>
      <rPr>
        <sz val="9"/>
        <color rgb="FF000000"/>
        <rFont val="Noto Sans CJK SC"/>
        <family val="2"/>
      </rPr>
      <t xml:space="preserve">的比较</t>
    </r>
  </si>
  <si>
    <t xml:space="preserve">客户更集中</t>
  </si>
  <si>
    <t xml:space="preserve">大致相当</t>
  </si>
  <si>
    <t xml:space="preserve">你更集中</t>
  </si>
  <si>
    <t xml:space="preserve">Q15</t>
  </si>
  <si>
    <r>
      <rPr>
        <sz val="9"/>
        <color rgb="FF000000"/>
        <rFont val="Noto Sans CJK SC"/>
        <family val="2"/>
      </rPr>
      <t xml:space="preserve">关键原材料</t>
    </r>
    <r>
      <rPr>
        <sz val="9"/>
        <color rgb="FF000000"/>
        <rFont val="KaiT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设备的供应商数量</t>
    </r>
  </si>
  <si>
    <t xml:space="preserve">单一卡脖子</t>
  </si>
  <si>
    <r>
      <rPr>
        <sz val="8.5"/>
        <color rgb="FF7F7F7F"/>
        <rFont val="KaiTi"/>
        <family val="0"/>
        <charset val="1"/>
      </rPr>
      <t xml:space="preserve">2–3 </t>
    </r>
    <r>
      <rPr>
        <sz val="8.5"/>
        <color rgb="FF7F7F7F"/>
        <rFont val="Noto Sans CJK SC"/>
        <family val="2"/>
      </rPr>
      <t xml:space="preserve">家</t>
    </r>
  </si>
  <si>
    <t xml:space="preserve">充分竞争</t>
  </si>
  <si>
    <t xml:space="preserve">Q16</t>
  </si>
  <si>
    <r>
      <rPr>
        <sz val="9"/>
        <color rgb="FF000000"/>
        <rFont val="Noto Sans CJK SC"/>
        <family val="2"/>
      </rPr>
      <t xml:space="preserve">你的产品占客户 </t>
    </r>
    <r>
      <rPr>
        <sz val="9"/>
        <color rgb="FF000000"/>
        <rFont val="KaiTi"/>
        <family val="0"/>
        <charset val="1"/>
      </rPr>
      <t xml:space="preserve">BOM </t>
    </r>
    <r>
      <rPr>
        <sz val="9"/>
        <color rgb="FF000000"/>
        <rFont val="Noto Sans CJK SC"/>
        <family val="2"/>
      </rPr>
      <t xml:space="preserve">成本比重</t>
    </r>
  </si>
  <si>
    <t xml:space="preserve">&gt; 15%</t>
  </si>
  <si>
    <t xml:space="preserve">5–15%</t>
  </si>
  <si>
    <t xml:space="preserve">&lt; 5%</t>
  </si>
  <si>
    <r>
      <rPr>
        <b val="true"/>
        <sz val="8.5"/>
        <color rgb="FF000000"/>
        <rFont val="KaiTi"/>
        <family val="0"/>
        <charset val="1"/>
      </rPr>
      <t xml:space="preserve">F5 </t>
    </r>
    <r>
      <rPr>
        <b val="true"/>
        <sz val="8.5"/>
        <color rgb="FF000000"/>
        <rFont val="Noto Sans CJK SC"/>
        <family val="2"/>
      </rPr>
      <t xml:space="preserve">产能弹性</t>
    </r>
  </si>
  <si>
    <t xml:space="preserve">Q17</t>
  </si>
  <si>
    <t xml:space="preserve">产能能否小步扩（模块化程度）</t>
  </si>
  <si>
    <t xml:space="preserve">可任意小步扩</t>
  </si>
  <si>
    <t xml:space="preserve">中等</t>
  </si>
  <si>
    <t xml:space="preserve">必须整厂上</t>
  </si>
  <si>
    <t xml:space="preserve">Q18</t>
  </si>
  <si>
    <t xml:space="preserve">从决定扩产到出货所需时间</t>
  </si>
  <si>
    <r>
      <rPr>
        <sz val="8.5"/>
        <color rgb="FF7F7F7F"/>
        <rFont val="KaiTi"/>
        <family val="0"/>
        <charset val="1"/>
      </rPr>
      <t xml:space="preserve">&lt; 12 </t>
    </r>
    <r>
      <rPr>
        <sz val="8.5"/>
        <color rgb="FF7F7F7F"/>
        <rFont val="Noto Sans CJK SC"/>
        <family val="2"/>
      </rPr>
      <t xml:space="preserve">个月</t>
    </r>
  </si>
  <si>
    <r>
      <rPr>
        <sz val="8.5"/>
        <color rgb="FF7F7F7F"/>
        <rFont val="KaiTi"/>
        <family val="0"/>
        <charset val="1"/>
      </rPr>
      <t xml:space="preserve">12–24 </t>
    </r>
    <r>
      <rPr>
        <sz val="8.5"/>
        <color rgb="FF7F7F7F"/>
        <rFont val="Noto Sans CJK SC"/>
        <family val="2"/>
      </rPr>
      <t xml:space="preserve">个月</t>
    </r>
  </si>
  <si>
    <r>
      <rPr>
        <sz val="8.5"/>
        <color rgb="FF7F7F7F"/>
        <rFont val="KaiTi"/>
        <family val="0"/>
        <charset val="1"/>
      </rPr>
      <t xml:space="preserve">&gt; 24 </t>
    </r>
    <r>
      <rPr>
        <sz val="8.5"/>
        <color rgb="FF7F7F7F"/>
        <rFont val="Noto Sans CJK SC"/>
        <family val="2"/>
      </rPr>
      <t xml:space="preserve">个月</t>
    </r>
  </si>
  <si>
    <t xml:space="preserve">Q19</t>
  </si>
  <si>
    <t xml:space="preserve">关键设备的交付周期</t>
  </si>
  <si>
    <t xml:space="preserve">Q20</t>
  </si>
  <si>
    <t xml:space="preserve">上一轮上行后行业出现过剩的滞后期</t>
  </si>
  <si>
    <r>
      <rPr>
        <sz val="8.5"/>
        <color rgb="FF7F7F7F"/>
        <rFont val="KaiTi"/>
        <family val="0"/>
        <charset val="1"/>
      </rPr>
      <t xml:space="preserve">&lt; 4 </t>
    </r>
    <r>
      <rPr>
        <sz val="8.5"/>
        <color rgb="FF7F7F7F"/>
        <rFont val="Noto Sans CJK SC"/>
        <family val="2"/>
      </rPr>
      <t xml:space="preserve">季</t>
    </r>
  </si>
  <si>
    <r>
      <rPr>
        <sz val="8.5"/>
        <color rgb="FF7F7F7F"/>
        <rFont val="KaiTi"/>
        <family val="0"/>
        <charset val="1"/>
      </rPr>
      <t xml:space="preserve">4–8 </t>
    </r>
    <r>
      <rPr>
        <sz val="8.5"/>
        <color rgb="FF7F7F7F"/>
        <rFont val="Noto Sans CJK SC"/>
        <family val="2"/>
      </rPr>
      <t xml:space="preserve">季</t>
    </r>
  </si>
  <si>
    <r>
      <rPr>
        <sz val="8.5"/>
        <color rgb="FF7F7F7F"/>
        <rFont val="KaiTi"/>
        <family val="0"/>
        <charset val="1"/>
      </rPr>
      <t xml:space="preserve">&gt; 8 </t>
    </r>
    <r>
      <rPr>
        <sz val="8.5"/>
        <color rgb="FF7F7F7F"/>
        <rFont val="Noto Sans CJK SC"/>
        <family val="2"/>
      </rPr>
      <t xml:space="preserve">季或未过剩</t>
    </r>
  </si>
  <si>
    <r>
      <rPr>
        <b val="true"/>
        <sz val="8.5"/>
        <color rgb="FF000000"/>
        <rFont val="KaiTi"/>
        <family val="0"/>
        <charset val="1"/>
      </rPr>
      <t xml:space="preserve">F6 </t>
    </r>
    <r>
      <rPr>
        <b val="true"/>
        <sz val="8.5"/>
        <color rgb="FF000000"/>
        <rFont val="Noto Sans CJK SC"/>
        <family val="2"/>
      </rPr>
      <t xml:space="preserve">外生扰动</t>
    </r>
  </si>
  <si>
    <t xml:space="preserve">Q21</t>
  </si>
  <si>
    <r>
      <rPr>
        <sz val="9"/>
        <color rgb="FF000000"/>
        <rFont val="Noto Sans CJK SC"/>
        <family val="2"/>
      </rPr>
      <t xml:space="preserve">是否被列入地方招商目录</t>
    </r>
    <r>
      <rPr>
        <sz val="9"/>
        <color rgb="FF000000"/>
        <rFont val="KaiT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国家专项</t>
    </r>
  </si>
  <si>
    <t xml:space="preserve">多地争抢</t>
  </si>
  <si>
    <t xml:space="preserve">局部</t>
  </si>
  <si>
    <t xml:space="preserve">Q22</t>
  </si>
  <si>
    <r>
      <rPr>
        <sz val="9"/>
        <color rgb="FF000000"/>
        <rFont val="Noto Sans CJK SC"/>
        <family val="2"/>
      </rPr>
      <t xml:space="preserve">过去 </t>
    </r>
    <r>
      <rPr>
        <sz val="9"/>
        <color rgb="FF000000"/>
        <rFont val="KaiTi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年一级市场同赛道融资笔数</t>
    </r>
  </si>
  <si>
    <r>
      <rPr>
        <sz val="8.5"/>
        <color rgb="FF7F7F7F"/>
        <rFont val="KaiTi"/>
        <family val="0"/>
        <charset val="1"/>
      </rPr>
      <t xml:space="preserve">&gt; 20 </t>
    </r>
    <r>
      <rPr>
        <sz val="8.5"/>
        <color rgb="FF7F7F7F"/>
        <rFont val="Noto Sans CJK SC"/>
        <family val="2"/>
      </rPr>
      <t xml:space="preserve">笔</t>
    </r>
  </si>
  <si>
    <r>
      <rPr>
        <sz val="8.5"/>
        <color rgb="FF7F7F7F"/>
        <rFont val="KaiTi"/>
        <family val="0"/>
        <charset val="1"/>
      </rPr>
      <t xml:space="preserve">5–20 </t>
    </r>
    <r>
      <rPr>
        <sz val="8.5"/>
        <color rgb="FF7F7F7F"/>
        <rFont val="Noto Sans CJK SC"/>
        <family val="2"/>
      </rPr>
      <t xml:space="preserve">笔</t>
    </r>
  </si>
  <si>
    <r>
      <rPr>
        <sz val="8.5"/>
        <color rgb="FF7F7F7F"/>
        <rFont val="KaiTi"/>
        <family val="0"/>
        <charset val="1"/>
      </rPr>
      <t xml:space="preserve">&lt; 5 </t>
    </r>
    <r>
      <rPr>
        <sz val="8.5"/>
        <color rgb="FF7F7F7F"/>
        <rFont val="Noto Sans CJK SC"/>
        <family val="2"/>
      </rPr>
      <t xml:space="preserve">笔</t>
    </r>
  </si>
  <si>
    <t xml:space="preserve">Q23</t>
  </si>
  <si>
    <t xml:space="preserve">是否有直接补贴支撑二线厂生存</t>
  </si>
  <si>
    <t xml:space="preserve">有且规模大</t>
  </si>
  <si>
    <t xml:space="preserve">有但规模小</t>
  </si>
  <si>
    <t xml:space="preserve">Q24</t>
  </si>
  <si>
    <t xml:space="preserve">上一轮下行期二线厂的出清程度</t>
  </si>
  <si>
    <t xml:space="preserve">未出清（僵尸产能）</t>
  </si>
  <si>
    <t xml:space="preserve">部分出清</t>
  </si>
  <si>
    <t xml:space="preserve">充分出清</t>
  </si>
  <si>
    <r>
      <rPr>
        <b val="true"/>
        <sz val="10.5"/>
        <color rgb="FF1F3864"/>
        <rFont val="KaiTi"/>
        <family val="0"/>
        <charset val="1"/>
      </rPr>
      <t xml:space="preserve">§3.1 · </t>
    </r>
    <r>
      <rPr>
        <b val="true"/>
        <sz val="10.5"/>
        <color rgb="FF1F3864"/>
        <rFont val="Noto Sans CJK SC"/>
        <family val="2"/>
      </rPr>
      <t xml:space="preserve">判定输出（随问卷自动更新）</t>
    </r>
  </si>
  <si>
    <r>
      <rPr>
        <b val="true"/>
        <sz val="10"/>
        <color rgb="FF000000"/>
        <rFont val="Noto Sans CJK SC"/>
        <family val="2"/>
      </rPr>
      <t xml:space="preserve">总分（</t>
    </r>
    <r>
      <rPr>
        <b val="true"/>
        <sz val="10"/>
        <color rgb="FF000000"/>
        <rFont val="KaiTi"/>
        <family val="0"/>
        <charset val="1"/>
      </rPr>
      <t xml:space="preserve">0–48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</si>
  <si>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判定形态</t>
  </si>
  <si>
    <r>
      <rPr>
        <b val="true"/>
        <sz val="9.5"/>
        <color rgb="FF000000"/>
        <rFont val="Noto Sans CJK SC"/>
        <family val="2"/>
      </rPr>
      <t xml:space="preserve">终局 </t>
    </r>
    <r>
      <rPr>
        <b val="true"/>
        <sz val="9.5"/>
        <color rgb="FF000000"/>
        <rFont val="KaiTi"/>
        <family val="0"/>
        <charset val="1"/>
      </rPr>
      <t xml:space="preserve">OPM</t>
    </r>
  </si>
  <si>
    <t xml:space="preserve">中期涨价可持续季数</t>
  </si>
  <si>
    <t xml:space="preserve">是否适合长期底仓</t>
  </si>
  <si>
    <t xml:space="preserve">主要杀死方式</t>
  </si>
  <si>
    <t xml:space="preserve">三期限适配</t>
  </si>
  <si>
    <r>
      <rPr>
        <b val="true"/>
        <sz val="10.5"/>
        <color rgb="FF1F3864"/>
        <rFont val="KaiTi"/>
        <family val="0"/>
        <charset val="1"/>
      </rPr>
      <t xml:space="preserve">§4 · </t>
    </r>
    <r>
      <rPr>
        <b val="true"/>
        <sz val="10.5"/>
        <color rgb="FF1F3864"/>
        <rFont val="Noto Sans CJK SC"/>
        <family val="2"/>
      </rPr>
      <t xml:space="preserve">五种格局形态对照表</t>
    </r>
  </si>
  <si>
    <t xml:space="preserve">属性</t>
  </si>
  <si>
    <t xml:space="preserve">结构性寡头</t>
  </si>
  <si>
    <r>
      <rPr>
        <b val="true"/>
        <sz val="9.5"/>
        <color rgb="FFFFFFFF"/>
        <rFont val="Noto Sans CJK SC"/>
        <family val="2"/>
      </rPr>
      <t xml:space="preserve">有序寡头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默契定价</t>
    </r>
  </si>
  <si>
    <t xml:space="preserve">一超多强</t>
  </si>
  <si>
    <r>
      <rPr>
        <b val="true"/>
        <sz val="9.5"/>
        <color rgb="FFFFFFFF"/>
        <rFont val="Noto Sans CJK SC"/>
        <family val="2"/>
      </rPr>
      <t xml:space="preserve">大宗化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完全竞争</t>
    </r>
  </si>
  <si>
    <t xml:space="preserve">被夹层</t>
  </si>
  <si>
    <t xml:space="preserve">问卷得分区间</t>
  </si>
  <si>
    <t xml:space="preserve">41 – 48</t>
  </si>
  <si>
    <t xml:space="preserve">32 – 40</t>
  </si>
  <si>
    <t xml:space="preserve">23 – 31</t>
  </si>
  <si>
    <t xml:space="preserve">13 – 22</t>
  </si>
  <si>
    <t xml:space="preserve">0 – 12</t>
  </si>
  <si>
    <t xml:space="preserve">龙头定价，全行业跟随</t>
  </si>
  <si>
    <r>
      <rPr>
        <sz val="8.5"/>
        <color rgb="FF0000FF"/>
        <rFont val="KaiTi"/>
        <family val="0"/>
        <charset val="1"/>
      </rPr>
      <t xml:space="preserve">3–5 </t>
    </r>
    <r>
      <rPr>
        <sz val="8.5"/>
        <color rgb="FF0000FF"/>
        <rFont val="Noto Sans CJK SC"/>
        <family val="2"/>
      </rPr>
      <t xml:space="preserve">家默契，龙头先动</t>
    </r>
  </si>
  <si>
    <t xml:space="preserve">龙头有份额、无定价权</t>
  </si>
  <si>
    <t xml:space="preserve">无，边际成本定价</t>
  </si>
  <si>
    <t xml:space="preserve">无，且上下游都比你集中</t>
  </si>
  <si>
    <t xml:space="preserve">下行期行为</t>
  </si>
  <si>
    <t xml:space="preserve">降产保价，价格粘性强</t>
  </si>
  <si>
    <t xml:space="preserve">先减产后降价，自律会破裂</t>
  </si>
  <si>
    <t xml:space="preserve">被迫跟随降价</t>
  </si>
  <si>
    <t xml:space="preserve">全行业同步降至现金成本</t>
  </si>
  <si>
    <t xml:space="preserve">双向挤压，最先亏损</t>
  </si>
  <si>
    <r>
      <rPr>
        <b val="true"/>
        <sz val="9"/>
        <color rgb="FF000000"/>
        <rFont val="Noto Sans CJK SC"/>
        <family val="2"/>
      </rPr>
      <t xml:space="preserve">终局 </t>
    </r>
    <r>
      <rPr>
        <b val="true"/>
        <sz val="9"/>
        <color rgb="FF000000"/>
        <rFont val="KaiTi"/>
        <family val="0"/>
        <charset val="1"/>
      </rPr>
      <t xml:space="preserve">OPM</t>
    </r>
  </si>
  <si>
    <t xml:space="preserve">28 – 40%</t>
  </si>
  <si>
    <r>
      <rPr>
        <sz val="8.5"/>
        <color rgb="FF0000FF"/>
        <rFont val="KaiTi"/>
        <family val="0"/>
        <charset val="1"/>
      </rPr>
      <t xml:space="preserve">18 – 28%</t>
    </r>
    <r>
      <rPr>
        <sz val="8.5"/>
        <color rgb="FF0000FF"/>
        <rFont val="Noto Sans CJK SC"/>
        <family val="2"/>
      </rPr>
      <t xml:space="preserve">（周期波动大）</t>
    </r>
  </si>
  <si>
    <t xml:space="preserve">10 – 18%</t>
  </si>
  <si>
    <r>
      <rPr>
        <sz val="8.5"/>
        <color rgb="FF0000FF"/>
        <rFont val="KaiTi"/>
        <family val="0"/>
        <charset val="1"/>
      </rPr>
      <t xml:space="preserve">3 – 10%</t>
    </r>
    <r>
      <rPr>
        <sz val="8.5"/>
        <color rgb="FF0000FF"/>
        <rFont val="Noto Sans CJK SC"/>
        <family val="2"/>
      </rPr>
      <t xml:space="preserve">，长期趋近 </t>
    </r>
    <r>
      <rPr>
        <sz val="8.5"/>
        <color rgb="FF0000FF"/>
        <rFont val="KaiTi"/>
        <family val="0"/>
        <charset val="1"/>
      </rPr>
      <t xml:space="preserve">WACC</t>
    </r>
  </si>
  <si>
    <r>
      <rPr>
        <b val="true"/>
        <sz val="9"/>
        <color rgb="FF000000"/>
        <rFont val="Noto Sans CJK SC"/>
        <family val="2"/>
      </rPr>
      <t xml:space="preserve">底部 </t>
    </r>
    <r>
      <rPr>
        <b val="true"/>
        <sz val="9"/>
        <color rgb="FF000000"/>
        <rFont val="KaiTi"/>
        <family val="0"/>
        <charset val="1"/>
      </rPr>
      <t xml:space="preserve">ROIC vs WACC</t>
    </r>
  </si>
  <si>
    <t xml:space="preserve">显著高于</t>
  </si>
  <si>
    <t xml:space="preserve">约等于或略高</t>
  </si>
  <si>
    <t xml:space="preserve">低于</t>
  </si>
  <si>
    <t xml:space="preserve">显著低于</t>
  </si>
  <si>
    <t xml:space="preserve">长期低于</t>
  </si>
  <si>
    <r>
      <rPr>
        <sz val="8.5"/>
        <color rgb="FF0000FF"/>
        <rFont val="KaiTi"/>
        <family val="0"/>
        <charset val="1"/>
      </rPr>
      <t xml:space="preserve">EPS × </t>
    </r>
    <r>
      <rPr>
        <sz val="8.5"/>
        <color rgb="FF0000FF"/>
        <rFont val="Noto Sans CJK SC"/>
        <family val="2"/>
      </rPr>
      <t xml:space="preserve">高 </t>
    </r>
    <r>
      <rPr>
        <sz val="8.5"/>
        <color rgb="FF0000FF"/>
        <rFont val="KaiTi"/>
        <family val="0"/>
        <charset val="1"/>
      </rPr>
      <t xml:space="preserve">PE / </t>
    </r>
    <r>
      <rPr>
        <sz val="8.5"/>
        <color rgb="FF0000FF"/>
        <rFont val="Noto Sans CJK SC"/>
        <family val="2"/>
      </rPr>
      <t xml:space="preserve">全周期 </t>
    </r>
    <r>
      <rPr>
        <sz val="8.5"/>
        <color rgb="FF0000FF"/>
        <rFont val="KaiTi"/>
        <family val="0"/>
        <charset val="1"/>
      </rPr>
      <t xml:space="preserve">DCF</t>
    </r>
  </si>
  <si>
    <r>
      <rPr>
        <sz val="8.5"/>
        <color rgb="FF0000FF"/>
        <rFont val="KaiTi"/>
        <family val="0"/>
        <charset val="1"/>
      </rPr>
      <t xml:space="preserve">mid-cycle EPS × </t>
    </r>
    <r>
      <rPr>
        <sz val="8.5"/>
        <color rgb="FF0000FF"/>
        <rFont val="Noto Sans CJK SC"/>
        <family val="2"/>
      </rPr>
      <t xml:space="preserve">周期 </t>
    </r>
    <r>
      <rPr>
        <sz val="8.5"/>
        <color rgb="FF0000FF"/>
        <rFont val="KaiTi"/>
        <family val="0"/>
        <charset val="1"/>
      </rPr>
      <t xml:space="preserve">PE</t>
    </r>
  </si>
  <si>
    <r>
      <rPr>
        <sz val="8.5"/>
        <color rgb="FF0000FF"/>
        <rFont val="Noto Sans CJK SC"/>
        <family val="2"/>
      </rPr>
      <t xml:space="preserve">份额 </t>
    </r>
    <r>
      <rPr>
        <sz val="8.5"/>
        <color rgb="FF0000FF"/>
        <rFont val="KaiTi"/>
        <family val="0"/>
        <charset val="1"/>
      </rPr>
      <t xml:space="preserve">× TAM</t>
    </r>
    <r>
      <rPr>
        <sz val="8.5"/>
        <color rgb="FF0000FF"/>
        <rFont val="Noto Sans CJK SC"/>
        <family val="2"/>
      </rPr>
      <t xml:space="preserve">，</t>
    </r>
    <r>
      <rPr>
        <sz val="8.5"/>
        <color rgb="FF0000FF"/>
        <rFont val="KaiTi"/>
        <family val="0"/>
        <charset val="1"/>
      </rPr>
      <t xml:space="preserve">PE/PS </t>
    </r>
    <r>
      <rPr>
        <sz val="8.5"/>
        <color rgb="FF0000FF"/>
        <rFont val="Noto Sans CJK SC"/>
        <family val="2"/>
      </rPr>
      <t xml:space="preserve">中枢</t>
    </r>
  </si>
  <si>
    <r>
      <rPr>
        <sz val="8.5"/>
        <color rgb="FF0000FF"/>
        <rFont val="Noto Sans CJK SC"/>
        <family val="2"/>
      </rPr>
      <t xml:space="preserve">周期低点 </t>
    </r>
    <r>
      <rPr>
        <sz val="8.5"/>
        <color rgb="FF0000FF"/>
        <rFont val="KaiTi"/>
        <family val="0"/>
        <charset val="1"/>
      </rPr>
      <t xml:space="preserve">PB / </t>
    </r>
    <r>
      <rPr>
        <sz val="8.5"/>
        <color rgb="FF0000FF"/>
        <rFont val="Noto Sans CJK SC"/>
        <family val="2"/>
      </rPr>
      <t xml:space="preserve">重置成本</t>
    </r>
  </si>
  <si>
    <t xml:space="preserve">无估值范式，只能博弈</t>
  </si>
  <si>
    <r>
      <rPr>
        <sz val="8.5"/>
        <color rgb="FF0000FF"/>
        <rFont val="KaiTi"/>
        <family val="0"/>
        <charset val="1"/>
      </rPr>
      <t xml:space="preserve">8 </t>
    </r>
    <r>
      <rPr>
        <sz val="8.5"/>
        <color rgb="FF0000FF"/>
        <rFont val="Noto Sans CJK SC"/>
        <family val="2"/>
      </rPr>
      <t xml:space="preserve">季以上</t>
    </r>
  </si>
  <si>
    <r>
      <rPr>
        <sz val="8.5"/>
        <color rgb="FF0000FF"/>
        <rFont val="KaiTi"/>
        <family val="0"/>
        <charset val="1"/>
      </rPr>
      <t xml:space="preserve">6 – 8 </t>
    </r>
    <r>
      <rPr>
        <sz val="8.5"/>
        <color rgb="FF0000FF"/>
        <rFont val="Noto Sans CJK SC"/>
        <family val="2"/>
      </rPr>
      <t xml:space="preserve">季</t>
    </r>
  </si>
  <si>
    <r>
      <rPr>
        <sz val="8.5"/>
        <color rgb="FF0000FF"/>
        <rFont val="KaiTi"/>
        <family val="0"/>
        <charset val="1"/>
      </rPr>
      <t xml:space="preserve">3 – 5 </t>
    </r>
    <r>
      <rPr>
        <sz val="8.5"/>
        <color rgb="FF0000FF"/>
        <rFont val="Noto Sans CJK SC"/>
        <family val="2"/>
      </rPr>
      <t xml:space="preserve">季</t>
    </r>
  </si>
  <si>
    <r>
      <rPr>
        <sz val="8.5"/>
        <color rgb="FF0000FF"/>
        <rFont val="KaiTi"/>
        <family val="0"/>
        <charset val="1"/>
      </rPr>
      <t xml:space="preserve">2 – 3 </t>
    </r>
    <r>
      <rPr>
        <sz val="8.5"/>
        <color rgb="FF0000FF"/>
        <rFont val="Noto Sans CJK SC"/>
        <family val="2"/>
      </rPr>
      <t xml:space="preserve">季</t>
    </r>
  </si>
  <si>
    <r>
      <rPr>
        <sz val="8.5"/>
        <color rgb="FF0000FF"/>
        <rFont val="KaiTi"/>
        <family val="0"/>
        <charset val="1"/>
      </rPr>
      <t xml:space="preserve">0 – 2 </t>
    </r>
    <r>
      <rPr>
        <sz val="8.5"/>
        <color rgb="FF0000FF"/>
        <rFont val="Noto Sans CJK SC"/>
        <family val="2"/>
      </rPr>
      <t xml:space="preserve">季（传导不下去）</t>
    </r>
  </si>
  <si>
    <t xml:space="preserve">二线扩产反应速度</t>
  </si>
  <si>
    <t xml:space="preserve">极慢或无力</t>
  </si>
  <si>
    <t xml:space="preserve">中等，受资本开支周期约束</t>
  </si>
  <si>
    <t xml:space="preserve">快</t>
  </si>
  <si>
    <t xml:space="preserve">极快，且有政策资金支持</t>
  </si>
  <si>
    <t xml:space="preserve">与供给无关，问题在结构</t>
  </si>
  <si>
    <t xml:space="preserve">资本开支强度</t>
  </si>
  <si>
    <t xml:space="preserve">高，但有回报</t>
  </si>
  <si>
    <t xml:space="preserve">极高，本身即壁垒</t>
  </si>
  <si>
    <t xml:space="preserve">中低，易复制</t>
  </si>
  <si>
    <t xml:space="preserve">高但无回报</t>
  </si>
  <si>
    <t xml:space="preserve">是，核心底仓</t>
  </si>
  <si>
    <t xml:space="preserve">可，但须择周期位置</t>
  </si>
  <si>
    <t xml:space="preserve">谨慎，须有份额提升证据</t>
  </si>
  <si>
    <t xml:space="preserve">不建议，只做周期波段</t>
  </si>
  <si>
    <t xml:space="preserve">不应持有</t>
  </si>
  <si>
    <r>
      <rPr>
        <sz val="8.5"/>
        <color rgb="FF0000FF"/>
        <rFont val="Noto Sans CJK SC"/>
        <family val="2"/>
      </rPr>
      <t xml:space="preserve">技术代际替代 </t>
    </r>
    <r>
      <rPr>
        <sz val="8.5"/>
        <color rgb="FF0000FF"/>
        <rFont val="KaiTi"/>
        <family val="0"/>
        <charset val="1"/>
      </rPr>
      <t xml:space="preserve">/ </t>
    </r>
    <r>
      <rPr>
        <sz val="8.5"/>
        <color rgb="FF0000FF"/>
        <rFont val="Noto Sans CJK SC"/>
        <family val="2"/>
      </rPr>
      <t xml:space="preserve">反垄断 </t>
    </r>
    <r>
      <rPr>
        <sz val="8.5"/>
        <color rgb="FF0000FF"/>
        <rFont val="KaiTi"/>
        <family val="0"/>
        <charset val="1"/>
      </rPr>
      <t xml:space="preserve">/ </t>
    </r>
    <r>
      <rPr>
        <sz val="8.5"/>
        <color rgb="FF0000FF"/>
        <rFont val="Noto Sans CJK SC"/>
        <family val="2"/>
      </rPr>
      <t xml:space="preserve">客户自研</t>
    </r>
  </si>
  <si>
    <r>
      <rPr>
        <sz val="8.5"/>
        <color rgb="FF0000FF"/>
        <rFont val="Noto Sans CJK SC"/>
        <family val="2"/>
      </rPr>
      <t xml:space="preserve">一家背叛默契 </t>
    </r>
    <r>
      <rPr>
        <sz val="8.5"/>
        <color rgb="FF0000FF"/>
        <rFont val="KaiTi"/>
        <family val="0"/>
        <charset val="1"/>
      </rPr>
      <t xml:space="preserve">/ </t>
    </r>
    <r>
      <rPr>
        <sz val="8.5"/>
        <color rgb="FF0000FF"/>
        <rFont val="Noto Sans CJK SC"/>
        <family val="2"/>
      </rPr>
      <t xml:space="preserve">外部资本进入</t>
    </r>
  </si>
  <si>
    <r>
      <rPr>
        <sz val="8.5"/>
        <color rgb="FF0000FF"/>
        <rFont val="Noto Sans CJK SC"/>
        <family val="2"/>
      </rPr>
      <t xml:space="preserve">份额被侵蚀 </t>
    </r>
    <r>
      <rPr>
        <sz val="8.5"/>
        <color rgb="FF0000FF"/>
        <rFont val="KaiTi"/>
        <family val="0"/>
        <charset val="1"/>
      </rPr>
      <t xml:space="preserve">/ </t>
    </r>
    <r>
      <rPr>
        <sz val="8.5"/>
        <color rgb="FF0000FF"/>
        <rFont val="Noto Sans CJK SC"/>
        <family val="2"/>
      </rPr>
      <t xml:space="preserve">价格战</t>
    </r>
  </si>
  <si>
    <t xml:space="preserve">任何一轮扩产潮</t>
  </si>
  <si>
    <t xml:space="preserve">结构本身</t>
  </si>
  <si>
    <t xml:space="preserve">典型案例类型</t>
  </si>
  <si>
    <t xml:space="preserve">全球卡位型设备与材料</t>
  </si>
  <si>
    <r>
      <rPr>
        <sz val="8.5"/>
        <color rgb="FF0000FF"/>
        <rFont val="Noto Sans CJK SC"/>
        <family val="2"/>
      </rPr>
      <t xml:space="preserve">高 </t>
    </r>
    <r>
      <rPr>
        <sz val="8.5"/>
        <color rgb="FF0000FF"/>
        <rFont val="KaiTi"/>
        <family val="0"/>
        <charset val="1"/>
      </rPr>
      <t xml:space="preserve">capex </t>
    </r>
    <r>
      <rPr>
        <sz val="8.5"/>
        <color rgb="FF0000FF"/>
        <rFont val="Noto Sans CJK SC"/>
        <family val="2"/>
      </rPr>
      <t xml:space="preserve">门槛的周期制造</t>
    </r>
  </si>
  <si>
    <t xml:space="preserve">多数中游制造龙头</t>
  </si>
  <si>
    <t xml:space="preserve">组件、面板、部分锂电中游</t>
  </si>
  <si>
    <t xml:space="preserve">上下游巨头夹击的加工环节</t>
  </si>
  <si>
    <t xml:space="preserve">长期研究重点</t>
  </si>
  <si>
    <t xml:space="preserve">技术极限与替代路线</t>
  </si>
  <si>
    <t xml:space="preserve">默契稳定性与产能纪律</t>
  </si>
  <si>
    <t xml:space="preserve">份额可持续性与成本曲线分位</t>
  </si>
  <si>
    <t xml:space="preserve">成本曲线分位（唯一变量）</t>
  </si>
  <si>
    <r>
      <rPr>
        <sz val="8.5"/>
        <color rgb="FF0000FF"/>
        <rFont val="Noto Sans CJK SC"/>
        <family val="2"/>
      </rPr>
      <t xml:space="preserve">能否向上</t>
    </r>
    <r>
      <rPr>
        <sz val="8.5"/>
        <color rgb="FF0000FF"/>
        <rFont val="KaiTi"/>
        <family val="0"/>
        <charset val="1"/>
      </rPr>
      <t xml:space="preserve">/</t>
    </r>
    <r>
      <rPr>
        <sz val="8.5"/>
        <color rgb="FF0000FF"/>
        <rFont val="Noto Sans CJK SC"/>
        <family val="2"/>
      </rPr>
      <t xml:space="preserve">向下整合改变结构</t>
    </r>
  </si>
  <si>
    <t xml:space="preserve">中期研究重点</t>
  </si>
  <si>
    <t xml:space="preserve">产能爬坡节奏（供给自己控制）</t>
  </si>
  <si>
    <t xml:space="preserve">供需缺口与在建产能日历</t>
  </si>
  <si>
    <t xml:space="preserve">份额变化与价格战风险</t>
  </si>
  <si>
    <t xml:space="preserve">现货价与库存周期</t>
  </si>
  <si>
    <t xml:space="preserve">仅做价差套利</t>
  </si>
  <si>
    <t xml:space="preserve">长期层最厚</t>
  </si>
  <si>
    <t xml:space="preserve">中期层最厚</t>
  </si>
  <si>
    <t xml:space="preserve">中期层为主</t>
  </si>
  <si>
    <t xml:space="preserve">短期层最厚</t>
  </si>
  <si>
    <t xml:space="preserve">不适合任何期限的多头</t>
  </si>
  <si>
    <r>
      <rPr>
        <b val="true"/>
        <sz val="10.5"/>
        <color rgb="FF1F3864"/>
        <rFont val="KaiTi"/>
        <family val="0"/>
        <charset val="1"/>
      </rPr>
      <t xml:space="preserve">§5 · </t>
    </r>
    <r>
      <rPr>
        <b val="true"/>
        <sz val="10.5"/>
        <color rgb="FF1F3864"/>
        <rFont val="Noto Sans CJK SC"/>
        <family val="2"/>
      </rPr>
      <t xml:space="preserve">格局崩坏的十个领先信号（按领先性排序）</t>
    </r>
  </si>
  <si>
    <t xml:space="preserve">#</t>
  </si>
  <si>
    <t xml:space="preserve">信号</t>
  </si>
  <si>
    <t xml:space="preserve">领先期</t>
  </si>
  <si>
    <t xml:space="preserve">观测手段</t>
  </si>
  <si>
    <t xml:space="preserve">说明</t>
  </si>
  <si>
    <t xml:space="preserve">1</t>
  </si>
  <si>
    <t xml:space="preserve">一级市场同赛道融资笔数骤升</t>
  </si>
  <si>
    <r>
      <rPr>
        <sz val="8.5"/>
        <color rgb="FF000000"/>
        <rFont val="KaiTi"/>
        <family val="0"/>
        <charset val="1"/>
      </rPr>
      <t xml:space="preserve">12–18 </t>
    </r>
    <r>
      <rPr>
        <sz val="8.5"/>
        <color rgb="FF000000"/>
        <rFont val="Noto Sans CJK SC"/>
        <family val="2"/>
      </rPr>
      <t xml:space="preserve">个月</t>
    </r>
  </si>
  <si>
    <t xml:space="preserve">最领先的信号：资本先到，产能后到</t>
  </si>
  <si>
    <t xml:space="preserve">2</t>
  </si>
  <si>
    <t xml:space="preserve">地方政府把该行业列入招商目录</t>
  </si>
  <si>
    <t xml:space="preserve">地方政府文件</t>
  </si>
  <si>
    <r>
      <rPr>
        <sz val="8.5"/>
        <color rgb="FF0000FF"/>
        <rFont val="KaiTi"/>
        <family val="0"/>
        <charset val="1"/>
      </rPr>
      <t xml:space="preserve">A </t>
    </r>
    <r>
      <rPr>
        <sz val="8.5"/>
        <color rgb="FF0000FF"/>
        <rFont val="Noto Sans CJK SC"/>
        <family val="2"/>
      </rPr>
      <t xml:space="preserve">股独有，且杀伤力最大</t>
    </r>
  </si>
  <si>
    <t xml:space="preserve">3</t>
  </si>
  <si>
    <t xml:space="preserve">客户公开扶持第二供应商或启动自研</t>
  </si>
  <si>
    <r>
      <rPr>
        <sz val="8.5"/>
        <color rgb="FF000000"/>
        <rFont val="KaiTi"/>
        <family val="0"/>
        <charset val="1"/>
      </rPr>
      <t xml:space="preserve">6–12 </t>
    </r>
    <r>
      <rPr>
        <sz val="8.5"/>
        <color rgb="FF000000"/>
        <rFont val="Noto Sans CJK SC"/>
        <family val="2"/>
      </rPr>
      <t xml:space="preserve">个月</t>
    </r>
  </si>
  <si>
    <r>
      <rPr>
        <sz val="8.5"/>
        <color rgb="FF7F7F7F"/>
        <rFont val="Noto Sans CJK SC"/>
        <family val="2"/>
      </rPr>
      <t xml:space="preserve">一手渠道 </t>
    </r>
    <r>
      <rPr>
        <sz val="8.5"/>
        <color rgb="FF7F7F7F"/>
        <rFont val="KaiTi"/>
        <family val="0"/>
        <charset val="1"/>
      </rPr>
      <t xml:space="preserve">/ </t>
    </r>
    <r>
      <rPr>
        <sz val="8.5"/>
        <color rgb="FF7F7F7F"/>
        <rFont val="Noto Sans CJK SC"/>
        <family val="2"/>
      </rPr>
      <t xml:space="preserve">客户公告</t>
    </r>
  </si>
  <si>
    <t xml:space="preserve">转换成本正在被主动拆除</t>
  </si>
  <si>
    <t xml:space="preserve">4</t>
  </si>
  <si>
    <t xml:space="preserve">二线厂商密集公告扩产且融资到位</t>
  </si>
  <si>
    <r>
      <rPr>
        <sz val="8.5"/>
        <color rgb="FF7F7F7F"/>
        <rFont val="Noto Sans CJK SC"/>
        <family val="2"/>
      </rPr>
      <t xml:space="preserve">扩产公告 </t>
    </r>
    <r>
      <rPr>
        <sz val="8.5"/>
        <color rgb="FF7F7F7F"/>
        <rFont val="KaiTi"/>
        <family val="0"/>
        <charset val="1"/>
      </rPr>
      <t xml:space="preserve">/ </t>
    </r>
    <r>
      <rPr>
        <sz val="8.5"/>
        <color rgb="FF7F7F7F"/>
        <rFont val="Noto Sans CJK SC"/>
        <family val="2"/>
      </rPr>
      <t xml:space="preserve">定增</t>
    </r>
  </si>
  <si>
    <t xml:space="preserve">注意「融资到位」比「公告扩产」更硬</t>
  </si>
  <si>
    <t xml:space="preserve">5</t>
  </si>
  <si>
    <r>
      <rPr>
        <b val="true"/>
        <sz val="9"/>
        <color rgb="FF000000"/>
        <rFont val="Noto Sans CJK SC"/>
        <family val="2"/>
      </rPr>
      <t xml:space="preserve">设备商订单增速持续 </t>
    </r>
    <r>
      <rPr>
        <b val="true"/>
        <sz val="9"/>
        <color rgb="FF000000"/>
        <rFont val="KaiTi"/>
        <family val="0"/>
        <charset val="1"/>
      </rPr>
      <t xml:space="preserve">&gt; </t>
    </r>
    <r>
      <rPr>
        <b val="true"/>
        <sz val="9"/>
        <color rgb="FF000000"/>
        <rFont val="Noto Sans CJK SC"/>
        <family val="2"/>
      </rPr>
      <t xml:space="preserve">终端需求增速</t>
    </r>
  </si>
  <si>
    <t xml:space="preserve">连续两季背离即确认供给超配</t>
  </si>
  <si>
    <t xml:space="preserve">6</t>
  </si>
  <si>
    <t xml:space="preserve">新进入者拿到头部客户小批量订单</t>
  </si>
  <si>
    <t xml:space="preserve">认证壁垒已被突破的第一证据</t>
  </si>
  <si>
    <t xml:space="preserve">7</t>
  </si>
  <si>
    <t xml:space="preserve">招标方式从议标转为公开竞价</t>
  </si>
  <si>
    <r>
      <rPr>
        <sz val="8.5"/>
        <color rgb="FF000000"/>
        <rFont val="KaiTi"/>
        <family val="0"/>
        <charset val="1"/>
      </rPr>
      <t xml:space="preserve">3–6 </t>
    </r>
    <r>
      <rPr>
        <sz val="8.5"/>
        <color rgb="FF000000"/>
        <rFont val="Noto Sans CJK SC"/>
        <family val="2"/>
      </rPr>
      <t xml:space="preserve">个月</t>
    </r>
  </si>
  <si>
    <t xml:space="preserve">招标文件</t>
  </si>
  <si>
    <t xml:space="preserve">客户认为供应商可替代了</t>
  </si>
  <si>
    <t xml:space="preserve">8</t>
  </si>
  <si>
    <r>
      <rPr>
        <b val="true"/>
        <sz val="9"/>
        <color rgb="FF000000"/>
        <rFont val="Noto Sans CJK SC"/>
        <family val="2"/>
      </rPr>
      <t xml:space="preserve">龙头毛利率相对行业均值的溢价收窄至 </t>
    </r>
    <r>
      <rPr>
        <b val="true"/>
        <sz val="9"/>
        <color rgb="FF000000"/>
        <rFont val="KaiTi"/>
        <family val="0"/>
        <charset val="1"/>
      </rPr>
      <t xml:space="preserve">5pct </t>
    </r>
    <r>
      <rPr>
        <b val="true"/>
        <sz val="9"/>
        <color rgb="FF000000"/>
        <rFont val="Noto Sans CJK SC"/>
        <family val="2"/>
      </rPr>
      <t xml:space="preserve">内</t>
    </r>
  </si>
  <si>
    <t xml:space="preserve">同步</t>
  </si>
  <si>
    <t xml:space="preserve">财报横比</t>
  </si>
  <si>
    <t xml:space="preserve">差异化维度正在坍缩</t>
  </si>
  <si>
    <t xml:space="preserve">9</t>
  </si>
  <si>
    <t xml:space="preserve">龙头开始降价保份额，而非降产保价</t>
  </si>
  <si>
    <t xml:space="preserve">同步（确认）</t>
  </si>
  <si>
    <t xml:space="preserve">价格与产量数据</t>
  </si>
  <si>
    <t xml:space="preserve">格局崩坏的确认信号，不是预警</t>
  </si>
  <si>
    <t xml:space="preserve">10</t>
  </si>
  <si>
    <r>
      <rPr>
        <b val="true"/>
        <sz val="9"/>
        <color rgb="FF000000"/>
        <rFont val="Noto Sans CJK SC"/>
        <family val="2"/>
      </rPr>
      <t xml:space="preserve">行业协会喊自律公约 </t>
    </r>
    <r>
      <rPr>
        <b val="true"/>
        <sz val="9"/>
        <color rgb="FF000000"/>
        <rFont val="KaiT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反内卷</t>
    </r>
  </si>
  <si>
    <t xml:space="preserve">滞后</t>
  </si>
  <si>
    <t xml:space="preserve">行业新闻</t>
  </si>
  <si>
    <t xml:space="preserve">是崩坏已经发生的确认，绝非修复的开始</t>
  </si>
  <si>
    <r>
      <rPr>
        <b val="true"/>
        <sz val="10.5"/>
        <color rgb="FF1F3864"/>
        <rFont val="KaiTi"/>
        <family val="0"/>
        <charset val="1"/>
      </rPr>
      <t xml:space="preserve">§6 · </t>
    </r>
    <r>
      <rPr>
        <b val="true"/>
        <sz val="10.5"/>
        <color rgb="FF1F3864"/>
        <rFont val="Noto Sans CJK SC"/>
        <family val="2"/>
      </rPr>
      <t xml:space="preserve">格局演化的四条路径</t>
    </r>
  </si>
  <si>
    <t xml:space="preserve">路径</t>
  </si>
  <si>
    <t xml:space="preserve">方向</t>
  </si>
  <si>
    <t xml:space="preserve">触发条件</t>
  </si>
  <si>
    <t xml:space="preserve">历史案例</t>
  </si>
  <si>
    <t xml:space="preserve">启示</t>
  </si>
  <si>
    <t xml:space="preserve">路径一：收敛</t>
  </si>
  <si>
    <t xml:space="preserve">完全竞争 → 一超多强 → 有序寡头</t>
  </si>
  <si>
    <r>
      <rPr>
        <sz val="8.5"/>
        <color rgb="FF000000"/>
        <rFont val="Noto Sans CJK SC"/>
        <family val="2"/>
      </rPr>
      <t xml:space="preserve">下行期充分出清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资本开支门槛抬升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技术代际拉开</t>
    </r>
  </si>
  <si>
    <r>
      <rPr>
        <sz val="8.5"/>
        <color rgb="FF7F7F7F"/>
        <rFont val="Noto Sans CJK SC"/>
        <family val="2"/>
      </rPr>
      <t xml:space="preserve">面板 </t>
    </r>
    <r>
      <rPr>
        <sz val="8.5"/>
        <color rgb="FF7F7F7F"/>
        <rFont val="KaiTi"/>
        <family val="0"/>
        <charset val="1"/>
      </rPr>
      <t xml:space="preserve">2012–2019</t>
    </r>
    <r>
      <rPr>
        <sz val="8.5"/>
        <color rgb="FF7F7F7F"/>
        <rFont val="Noto Sans CJK SC"/>
        <family val="2"/>
      </rPr>
      <t xml:space="preserve">：韩厂退出后转为有序寡头</t>
    </r>
  </si>
  <si>
    <t xml:space="preserve">出清是格局重建的唯一途径；出清越痛，重建越牢</t>
  </si>
  <si>
    <t xml:space="preserve">路径二：崩坏</t>
  </si>
  <si>
    <t xml:space="preserve">寡头 → 一超多强 → 大宗化</t>
  </si>
  <si>
    <r>
      <rPr>
        <sz val="8.5"/>
        <color rgb="FF000000"/>
        <rFont val="Noto Sans CJK SC"/>
        <family val="2"/>
      </rPr>
      <t xml:space="preserve">外生资本进入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专利到期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技术扩散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补贴托底二线</t>
    </r>
  </si>
  <si>
    <r>
      <rPr>
        <sz val="8.5"/>
        <color rgb="FF7F7F7F"/>
        <rFont val="Noto Sans CJK SC"/>
        <family val="2"/>
      </rPr>
      <t xml:space="preserve">光伏组件 </t>
    </r>
    <r>
      <rPr>
        <sz val="8.5"/>
        <color rgb="FF7F7F7F"/>
        <rFont val="KaiTi"/>
        <family val="0"/>
        <charset val="1"/>
      </rPr>
      <t xml:space="preserve">2017–2023</t>
    </r>
  </si>
  <si>
    <r>
      <rPr>
        <sz val="9"/>
        <color rgb="FF0000FF"/>
        <rFont val="KaiTi"/>
        <family val="0"/>
        <charset val="1"/>
      </rPr>
      <t xml:space="preserve">A </t>
    </r>
    <r>
      <rPr>
        <sz val="9"/>
        <color rgb="FF0000FF"/>
        <rFont val="Noto Sans CJK SC"/>
        <family val="2"/>
      </rPr>
      <t xml:space="preserve">股最高频的路径，也是长期研究最容易漏判的</t>
    </r>
  </si>
  <si>
    <t xml:space="preserve">路径三：迁移</t>
  </si>
  <si>
    <t xml:space="preserve">利润从本环节迁往上游或下游</t>
  </si>
  <si>
    <t xml:space="preserve">瓶颈环节改变（新的物理约束出现在别处）</t>
  </si>
  <si>
    <t xml:space="preserve">锂电：利润从中游材料迁至上游资源再迁回电池</t>
  </si>
  <si>
    <t xml:space="preserve">格局判定必须按环节做，不能按行业做</t>
  </si>
  <si>
    <t xml:space="preserve">路径四：重构</t>
  </si>
  <si>
    <t xml:space="preserve">技术代际切换导致格局重排，旧赢家归零</t>
  </si>
  <si>
    <t xml:space="preserve">新路线出货份额连续两年翻倍</t>
  </si>
  <si>
    <r>
      <rPr>
        <sz val="8.5"/>
        <color rgb="FF7F7F7F"/>
        <rFont val="KaiTi"/>
        <family val="0"/>
        <charset val="1"/>
      </rPr>
      <t xml:space="preserve">LED </t>
    </r>
    <r>
      <rPr>
        <sz val="8.5"/>
        <color rgb="FF7F7F7F"/>
        <rFont val="Noto Sans CJK SC"/>
        <family val="2"/>
      </rPr>
      <t xml:space="preserve">芯片、存储制程切换</t>
    </r>
  </si>
  <si>
    <t xml:space="preserve">此时长期研究的对象应从「公司」切回「技术路线」</t>
  </si>
  <si>
    <r>
      <rPr>
        <b val="true"/>
        <sz val="10.5"/>
        <color rgb="FF1F3864"/>
        <rFont val="KaiTi"/>
        <family val="0"/>
        <charset val="1"/>
      </rPr>
      <t xml:space="preserve">§7 · </t>
    </r>
    <r>
      <rPr>
        <b val="true"/>
        <sz val="10.5"/>
        <color rgb="FF1F3864"/>
        <rFont val="Noto Sans CJK SC"/>
        <family val="2"/>
      </rPr>
      <t xml:space="preserve">格局 </t>
    </r>
    <r>
      <rPr>
        <b val="true"/>
        <sz val="10.5"/>
        <color rgb="FF1F3864"/>
        <rFont val="KaiTi"/>
        <family val="0"/>
        <charset val="1"/>
      </rPr>
      <t xml:space="preserve">× </t>
    </r>
    <r>
      <rPr>
        <b val="true"/>
        <sz val="10.5"/>
        <color rgb="FF1F3864"/>
        <rFont val="Noto Sans CJK SC"/>
        <family val="2"/>
      </rPr>
      <t xml:space="preserve">三期限的映射（回接 </t>
    </r>
    <r>
      <rPr>
        <b val="true"/>
        <sz val="10.5"/>
        <color rgb="FF1F3864"/>
        <rFont val="KaiTi"/>
        <family val="0"/>
        <charset val="1"/>
      </rPr>
      <t xml:space="preserve">Sheet 01</t>
    </r>
    <r>
      <rPr>
        <b val="true"/>
        <sz val="10.5"/>
        <color rgb="FF1F3864"/>
        <rFont val="Noto Sans CJK SC"/>
        <family val="2"/>
      </rPr>
      <t xml:space="preserve">）</t>
    </r>
  </si>
  <si>
    <r>
      <rPr>
        <b val="true"/>
        <sz val="9.5"/>
        <color rgb="FFFFFFFF"/>
        <rFont val="Noto Sans CJK SC"/>
        <family val="2"/>
      </rPr>
      <t xml:space="preserve">期限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项</t>
    </r>
  </si>
  <si>
    <t xml:space="preserve">格局在这一层的作用</t>
  </si>
  <si>
    <t xml:space="preserve">权重</t>
  </si>
  <si>
    <r>
      <rPr>
        <b val="true"/>
        <sz val="9"/>
        <color rgb="FF000000"/>
        <rFont val="Noto Sans CJK SC"/>
        <family val="2"/>
      </rPr>
      <t xml:space="preserve">长期（</t>
    </r>
    <r>
      <rPr>
        <b val="true"/>
        <sz val="9"/>
        <color rgb="FF000000"/>
        <rFont val="KaiTi"/>
        <family val="0"/>
        <charset val="1"/>
      </rPr>
      <t xml:space="preserve">3–5y</t>
    </r>
    <r>
      <rPr>
        <b val="true"/>
        <sz val="9"/>
        <color rgb="FF000000"/>
        <rFont val="Noto Sans CJK SC"/>
        <family val="2"/>
      </rPr>
      <t xml:space="preserve">）</t>
    </r>
  </si>
  <si>
    <r>
      <rPr>
        <b val="true"/>
        <sz val="9"/>
        <color rgb="FF000000"/>
        <rFont val="Noto Sans CJK SC"/>
        <family val="2"/>
      </rPr>
      <t xml:space="preserve">格局决定终局 </t>
    </r>
    <r>
      <rPr>
        <b val="true"/>
        <sz val="9"/>
        <color rgb="FF000000"/>
        <rFont val="KaiTi"/>
        <family val="0"/>
        <charset val="1"/>
      </rPr>
      <t xml:space="preserve">OPM</t>
    </r>
  </si>
  <si>
    <r>
      <rPr>
        <sz val="8.5"/>
        <color rgb="FF0000FF"/>
        <rFont val="Noto Sans CJK SC"/>
        <family val="2"/>
      </rPr>
      <t xml:space="preserve">这是长期研究唯一不可替代的产出。</t>
    </r>
    <r>
      <rPr>
        <sz val="8.5"/>
        <color rgb="FF0000FF"/>
        <rFont val="KaiTi"/>
        <family val="0"/>
        <charset val="1"/>
      </rPr>
      <t xml:space="preserve">TAM </t>
    </r>
    <r>
      <rPr>
        <sz val="8.5"/>
        <color rgb="FF0000FF"/>
        <rFont val="Noto Sans CJK SC"/>
        <family val="2"/>
      </rPr>
      <t xml:space="preserve">谁都能算，格局判断才是分水岭</t>
    </r>
  </si>
  <si>
    <t xml:space="preserve">权重最高</t>
  </si>
  <si>
    <r>
      <rPr>
        <b val="true"/>
        <sz val="9"/>
        <color rgb="FF000000"/>
        <rFont val="Noto Sans CJK SC"/>
        <family val="2"/>
      </rPr>
      <t xml:space="preserve">中期（</t>
    </r>
    <r>
      <rPr>
        <b val="true"/>
        <sz val="9"/>
        <color rgb="FF000000"/>
        <rFont val="KaiTi"/>
        <family val="0"/>
        <charset val="1"/>
      </rPr>
      <t xml:space="preserve">3–6Q</t>
    </r>
    <r>
      <rPr>
        <b val="true"/>
        <sz val="9"/>
        <color rgb="FF000000"/>
        <rFont val="Noto Sans CJK SC"/>
        <family val="2"/>
      </rPr>
      <t xml:space="preserve">）</t>
    </r>
  </si>
  <si>
    <t xml:space="preserve">格局决定这一轮涨价能撑几季</t>
  </si>
  <si>
    <r>
      <rPr>
        <sz val="8.5"/>
        <color rgb="FF0000FF"/>
        <rFont val="Noto Sans CJK SC"/>
        <family val="2"/>
      </rPr>
      <t xml:space="preserve">有序寡头 </t>
    </r>
    <r>
      <rPr>
        <sz val="8.5"/>
        <color rgb="FF0000FF"/>
        <rFont val="KaiTi"/>
        <family val="0"/>
        <charset val="1"/>
      </rPr>
      <t xml:space="preserve">6–8 </t>
    </r>
    <r>
      <rPr>
        <sz val="8.5"/>
        <color rgb="FF0000FF"/>
        <rFont val="Noto Sans CJK SC"/>
        <family val="2"/>
      </rPr>
      <t xml:space="preserve">季，完全竞争 </t>
    </r>
    <r>
      <rPr>
        <sz val="8.5"/>
        <color rgb="FF0000FF"/>
        <rFont val="KaiTi"/>
        <family val="0"/>
        <charset val="1"/>
      </rPr>
      <t xml:space="preserve">2–3 </t>
    </r>
    <r>
      <rPr>
        <sz val="8.5"/>
        <color rgb="FF0000FF"/>
        <rFont val="Noto Sans CJK SC"/>
        <family val="2"/>
      </rPr>
      <t xml:space="preserve">季。把完全竞争当寡头是中期最贵的错</t>
    </r>
  </si>
  <si>
    <t xml:space="preserve">权重中等</t>
  </si>
  <si>
    <r>
      <rPr>
        <b val="true"/>
        <sz val="9"/>
        <color rgb="FF000000"/>
        <rFont val="Noto Sans CJK SC"/>
        <family val="2"/>
      </rPr>
      <t xml:space="preserve">短期（≤</t>
    </r>
    <r>
      <rPr>
        <b val="true"/>
        <sz val="9"/>
        <color rgb="FF000000"/>
        <rFont val="KaiTi"/>
        <family val="0"/>
        <charset val="1"/>
      </rPr>
      <t xml:space="preserve">1Q</t>
    </r>
    <r>
      <rPr>
        <b val="true"/>
        <sz val="9"/>
        <color rgb="FF000000"/>
        <rFont val="Noto Sans CJK SC"/>
        <family val="2"/>
      </rPr>
      <t xml:space="preserve">）</t>
    </r>
  </si>
  <si>
    <t xml:space="preserve">格局基本不进入定价</t>
  </si>
  <si>
    <t xml:space="preserve">例外：发生格局事件时（并购、二线破产、反垄断、龙头退出）短期会剧烈重定价</t>
  </si>
  <si>
    <t xml:space="preserve">权重最低</t>
  </si>
  <si>
    <t xml:space="preserve">仓位映射</t>
  </si>
  <si>
    <t xml:space="preserve">形态 → 仓位类型</t>
  </si>
  <si>
    <t xml:space="preserve">结构性寡头可做底仓；有序寡头做波段；一超多强做波段但缩久期；大宗化只做交易；被夹层不持有</t>
  </si>
  <si>
    <t xml:space="preserve">复检频率</t>
  </si>
  <si>
    <r>
      <rPr>
        <b val="true"/>
        <sz val="9"/>
        <color rgb="FF000000"/>
        <rFont val="Noto Sans CJK SC"/>
        <family val="2"/>
      </rPr>
      <t xml:space="preserve">格局判定的半衰期约 </t>
    </r>
    <r>
      <rPr>
        <b val="true"/>
        <sz val="9"/>
        <color rgb="FF000000"/>
        <rFont val="KaiTi"/>
        <family val="0"/>
        <charset val="1"/>
      </rPr>
      <t xml:space="preserve">18 </t>
    </r>
    <r>
      <rPr>
        <b val="true"/>
        <sz val="9"/>
        <color rgb="FF000000"/>
        <rFont val="Noto Sans CJK SC"/>
        <family val="2"/>
      </rPr>
      <t xml:space="preserve">个月</t>
    </r>
  </si>
  <si>
    <t xml:space="preserve">但只要出现「崩坏领先信号」中任意两条，须立即重跑问卷</t>
  </si>
  <si>
    <r>
      <rPr>
        <b val="true"/>
        <sz val="10.5"/>
        <color rgb="FF1F3864"/>
        <rFont val="KaiTi"/>
        <family val="0"/>
        <charset val="1"/>
      </rPr>
      <t xml:space="preserve">§8 · A </t>
    </r>
    <r>
      <rPr>
        <b val="true"/>
        <sz val="10.5"/>
        <color rgb="FF1F3864"/>
        <rFont val="Noto Sans CJK SC"/>
        <family val="2"/>
      </rPr>
      <t xml:space="preserve">股格局判定的七条特殊性（海外框架直接套会系统性高估）</t>
    </r>
  </si>
  <si>
    <t xml:space="preserve">外生资本是第一杀手</t>
  </si>
  <si>
    <r>
      <rPr>
        <sz val="9"/>
        <color rgb="FF0000FF"/>
        <rFont val="Noto Sans CJK SC"/>
        <family val="2"/>
      </rPr>
      <t xml:space="preserve">地方招商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产业基金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一级热钱能把任何寡头打成完全竞争，且不受经济性约束</t>
    </r>
  </si>
  <si>
    <r>
      <rPr>
        <b val="true"/>
        <sz val="9"/>
        <color rgb="FF000000"/>
        <rFont val="Noto Sans CJK SC"/>
        <family val="2"/>
      </rPr>
      <t xml:space="preserve">出清比海外慢 </t>
    </r>
    <r>
      <rPr>
        <b val="true"/>
        <sz val="9"/>
        <color rgb="FF000000"/>
        <rFont val="KaiTi"/>
        <family val="0"/>
        <charset val="1"/>
      </rPr>
      <t xml:space="preserve">2–4 </t>
    </r>
    <r>
      <rPr>
        <b val="true"/>
        <sz val="9"/>
        <color rgb="FF000000"/>
        <rFont val="Noto Sans CJK SC"/>
        <family val="2"/>
      </rPr>
      <t xml:space="preserve">季</t>
    </r>
  </si>
  <si>
    <t xml:space="preserve">僵尸产能因地方就业与税收考量不退出，下行期被拉长，价格底更低更久</t>
  </si>
  <si>
    <t xml:space="preserve">补贴扭曲成本曲线</t>
  </si>
  <si>
    <t xml:space="preserve">现金成本分位失真，必须剔除补贴后重算，否则会把补贴优势误判为成本优势</t>
  </si>
  <si>
    <t xml:space="preserve">「反内卷」是滞后确认</t>
  </si>
  <si>
    <t xml:space="preserve">政策喊自律说明格局已崩坏，不是修复开始。历史上从未由自律公约恢复过定价权</t>
  </si>
  <si>
    <t xml:space="preserve">国产替代抬高的是临时壁垒</t>
  </si>
  <si>
    <t xml:space="preserve">替代期内二线享受保护性需求，替代完成后壁垒消失、格局立刻劣化</t>
  </si>
  <si>
    <t xml:space="preserve">上市即扩产</t>
  </si>
  <si>
    <r>
      <rPr>
        <sz val="9"/>
        <color rgb="FF0000FF"/>
        <rFont val="KaiTi"/>
        <family val="0"/>
        <charset val="1"/>
      </rPr>
      <t xml:space="preserve">IPO/</t>
    </r>
    <r>
      <rPr>
        <sz val="9"/>
        <color rgb="FF0000FF"/>
        <rFont val="Noto Sans CJK SC"/>
        <family val="2"/>
      </rPr>
      <t xml:space="preserve">定增本身就是格局崩坏的资金来源。一个环节集中上市 </t>
    </r>
    <r>
      <rPr>
        <sz val="9"/>
        <color rgb="FF0000FF"/>
        <rFont val="KaiTi"/>
        <family val="0"/>
        <charset val="1"/>
      </rPr>
      <t xml:space="preserve">= </t>
    </r>
    <r>
      <rPr>
        <sz val="9"/>
        <color rgb="FF0000FF"/>
        <rFont val="Noto Sans CJK SC"/>
        <family val="2"/>
      </rPr>
      <t xml:space="preserve">未来 </t>
    </r>
    <r>
      <rPr>
        <sz val="9"/>
        <color rgb="FF0000FF"/>
        <rFont val="KaiTi"/>
        <family val="0"/>
        <charset val="1"/>
      </rPr>
      <t xml:space="preserve">2 </t>
    </r>
    <r>
      <rPr>
        <sz val="9"/>
        <color rgb="FF0000FF"/>
        <rFont val="Noto Sans CJK SC"/>
        <family val="2"/>
      </rPr>
      <t xml:space="preserve">年供给激增</t>
    </r>
  </si>
  <si>
    <t xml:space="preserve">海外格局不可直接映射</t>
  </si>
  <si>
    <r>
      <rPr>
        <sz val="9"/>
        <color rgb="FF0000FF"/>
        <rFont val="Noto Sans CJK SC"/>
        <family val="2"/>
      </rPr>
      <t xml:space="preserve">同一行业 </t>
    </r>
    <r>
      <rPr>
        <sz val="9"/>
        <color rgb="FF0000FF"/>
        <rFont val="KaiTi"/>
        <family val="0"/>
        <charset val="1"/>
      </rPr>
      <t xml:space="preserve">A </t>
    </r>
    <r>
      <rPr>
        <sz val="9"/>
        <color rgb="FF0000FF"/>
        <rFont val="Noto Sans CJK SC"/>
        <family val="2"/>
      </rPr>
      <t xml:space="preserve">股格局通常比海外差 </t>
    </r>
    <r>
      <rPr>
        <sz val="9"/>
        <color rgb="FF0000FF"/>
        <rFont val="KaiTi"/>
        <family val="0"/>
        <charset val="1"/>
      </rPr>
      <t xml:space="preserve">1–2 </t>
    </r>
    <r>
      <rPr>
        <sz val="9"/>
        <color rgb="FF0000FF"/>
        <rFont val="Noto Sans CJK SC"/>
        <family val="2"/>
      </rPr>
      <t xml:space="preserve">档，套用海外 </t>
    </r>
    <r>
      <rPr>
        <sz val="9"/>
        <color rgb="FF0000FF"/>
        <rFont val="KaiTi"/>
        <family val="0"/>
        <charset val="1"/>
      </rPr>
      <t xml:space="preserve">OPM </t>
    </r>
    <r>
      <rPr>
        <sz val="9"/>
        <color rgb="FF0000FF"/>
        <rFont val="Noto Sans CJK SC"/>
        <family val="2"/>
      </rPr>
      <t xml:space="preserve">中枢会系统性高估</t>
    </r>
  </si>
  <si>
    <t xml:space="preserve">龙头的份额未必是护城河</t>
  </si>
  <si>
    <r>
      <rPr>
        <sz val="9"/>
        <color rgb="FF0000FF"/>
        <rFont val="KaiTi"/>
        <family val="0"/>
        <charset val="1"/>
      </rPr>
      <t xml:space="preserve">A </t>
    </r>
    <r>
      <rPr>
        <sz val="9"/>
        <color rgb="FF0000FF"/>
        <rFont val="Noto Sans CJK SC"/>
        <family val="2"/>
      </rPr>
      <t xml:space="preserve">股龙头常以低价换份额，份额高但 </t>
    </r>
    <r>
      <rPr>
        <sz val="9"/>
        <color rgb="FF0000FF"/>
        <rFont val="KaiTi"/>
        <family val="0"/>
        <charset val="1"/>
      </rPr>
      <t xml:space="preserve">ROIC </t>
    </r>
    <r>
      <rPr>
        <sz val="9"/>
        <color rgb="FF0000FF"/>
        <rFont val="Noto Sans CJK SC"/>
        <family val="2"/>
      </rPr>
      <t xml:space="preserve">低，须用底部 </t>
    </r>
    <r>
      <rPr>
        <sz val="9"/>
        <color rgb="FF0000FF"/>
        <rFont val="KaiTi"/>
        <family val="0"/>
        <charset val="1"/>
      </rPr>
      <t xml:space="preserve">ROIC </t>
    </r>
    <r>
      <rPr>
        <sz val="9"/>
        <color rgb="FF0000FF"/>
        <rFont val="Noto Sans CJK SC"/>
        <family val="2"/>
      </rPr>
      <t xml:space="preserve">而非份额判定格局</t>
    </r>
  </si>
  <si>
    <r>
      <rPr>
        <b val="true"/>
        <sz val="10.5"/>
        <color rgb="FF1F3864"/>
        <rFont val="KaiTi"/>
        <family val="0"/>
        <charset val="1"/>
      </rPr>
      <t xml:space="preserve">§9 · </t>
    </r>
    <r>
      <rPr>
        <b val="true"/>
        <sz val="10.5"/>
        <color rgb="FF1F3864"/>
        <rFont val="Noto Sans CJK SC"/>
        <family val="2"/>
      </rPr>
      <t xml:space="preserve">案例锚（判错的地方比判对的地方更值钱）</t>
    </r>
  </si>
  <si>
    <r>
      <rPr>
        <b val="true"/>
        <sz val="9.5"/>
        <color rgb="FFFFFFFF"/>
        <rFont val="Noto Sans CJK SC"/>
        <family val="2"/>
      </rPr>
      <t xml:space="preserve">行业 </t>
    </r>
    <r>
      <rPr>
        <b val="true"/>
        <sz val="9.5"/>
        <color rgb="FFFFFFFF"/>
        <rFont val="KaiTi"/>
        <family val="0"/>
        <charset val="1"/>
      </rPr>
      <t xml:space="preserve">/ </t>
    </r>
    <r>
      <rPr>
        <b val="true"/>
        <sz val="9.5"/>
        <color rgb="FFFFFFFF"/>
        <rFont val="Noto Sans CJK SC"/>
        <family val="2"/>
      </rPr>
      <t xml:space="preserve">环节</t>
    </r>
  </si>
  <si>
    <t xml:space="preserve">当时判定</t>
  </si>
  <si>
    <t xml:space="preserve">实际演化</t>
  </si>
  <si>
    <t xml:space="preserve">教训</t>
  </si>
  <si>
    <t xml:space="preserve">光伏组件</t>
  </si>
  <si>
    <r>
      <rPr>
        <sz val="8.5"/>
        <color rgb="FF000000"/>
        <rFont val="KaiTi"/>
        <family val="0"/>
        <charset val="1"/>
      </rPr>
      <t xml:space="preserve">2017 </t>
    </r>
    <r>
      <rPr>
        <sz val="8.5"/>
        <color rgb="FF000000"/>
        <rFont val="Noto Sans CJK SC"/>
        <family val="2"/>
      </rPr>
      <t xml:space="preserve">判为一超多强</t>
    </r>
  </si>
  <si>
    <r>
      <rPr>
        <sz val="8.5"/>
        <color rgb="FF000000"/>
        <rFont val="KaiTi"/>
        <family val="0"/>
        <charset val="1"/>
      </rPr>
      <t xml:space="preserve">2023 </t>
    </r>
    <r>
      <rPr>
        <sz val="8.5"/>
        <color rgb="FF000000"/>
        <rFont val="Noto Sans CJK SC"/>
        <family val="2"/>
      </rPr>
      <t xml:space="preserve">实为大宗化</t>
    </r>
  </si>
  <si>
    <t xml:space="preserve">忽略地方招商与一级资本对壁垒的压制</t>
  </si>
  <si>
    <t xml:space="preserve">面板</t>
  </si>
  <si>
    <r>
      <rPr>
        <sz val="8.5"/>
        <color rgb="FF000000"/>
        <rFont val="KaiTi"/>
        <family val="0"/>
        <charset val="1"/>
      </rPr>
      <t xml:space="preserve">2012 </t>
    </r>
    <r>
      <rPr>
        <sz val="8.5"/>
        <color rgb="FF000000"/>
        <rFont val="Noto Sans CJK SC"/>
        <family val="2"/>
      </rPr>
      <t xml:space="preserve">判为大宗化</t>
    </r>
  </si>
  <si>
    <r>
      <rPr>
        <sz val="8.5"/>
        <color rgb="FF000000"/>
        <rFont val="KaiTi"/>
        <family val="0"/>
        <charset val="1"/>
      </rPr>
      <t xml:space="preserve">2019 </t>
    </r>
    <r>
      <rPr>
        <sz val="8.5"/>
        <color rgb="FF000000"/>
        <rFont val="Noto Sans CJK SC"/>
        <family val="2"/>
      </rPr>
      <t xml:space="preserve">后韩厂退出转为有序寡头</t>
    </r>
  </si>
  <si>
    <t xml:space="preserve">充分出清可以重建格局——崩坏不是单向的</t>
  </si>
  <si>
    <t xml:space="preserve">DRAM</t>
  </si>
  <si>
    <t xml:space="preserve">长期有序寡头</t>
  </si>
  <si>
    <r>
      <rPr>
        <sz val="8.5"/>
        <color rgb="FF000000"/>
        <rFont val="KaiTi"/>
        <family val="0"/>
        <charset val="1"/>
      </rPr>
      <t xml:space="preserve">2016 </t>
    </r>
    <r>
      <rPr>
        <sz val="8.5"/>
        <color rgb="FF000000"/>
        <rFont val="Noto Sans CJK SC"/>
        <family val="2"/>
      </rPr>
      <t xml:space="preserve">至今形态稳定</t>
    </r>
  </si>
  <si>
    <r>
      <rPr>
        <sz val="9"/>
        <color rgb="FF0000FF"/>
        <rFont val="KaiTi"/>
        <family val="0"/>
        <charset val="1"/>
      </rPr>
      <t xml:space="preserve">capex </t>
    </r>
    <r>
      <rPr>
        <sz val="9"/>
        <color rgb="FF0000FF"/>
        <rFont val="Noto Sans CJK SC"/>
        <family val="2"/>
      </rPr>
      <t xml:space="preserve">门槛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专利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三家产能纪律，三重叠加才稳</t>
    </r>
  </si>
  <si>
    <t xml:space="preserve">锂电正极</t>
  </si>
  <si>
    <r>
      <rPr>
        <sz val="8.5"/>
        <color rgb="FF000000"/>
        <rFont val="KaiTi"/>
        <family val="0"/>
        <charset val="1"/>
      </rPr>
      <t xml:space="preserve">2018 </t>
    </r>
    <r>
      <rPr>
        <sz val="8.5"/>
        <color rgb="FF000000"/>
        <rFont val="Noto Sans CJK SC"/>
        <family val="2"/>
      </rPr>
      <t xml:space="preserve">判为高成长</t>
    </r>
  </si>
  <si>
    <r>
      <rPr>
        <sz val="8.5"/>
        <color rgb="FF000000"/>
        <rFont val="KaiTi"/>
        <family val="0"/>
        <charset val="1"/>
      </rPr>
      <t xml:space="preserve">2022 </t>
    </r>
    <r>
      <rPr>
        <sz val="8.5"/>
        <color rgb="FF000000"/>
        <rFont val="Noto Sans CJK SC"/>
        <family val="2"/>
      </rPr>
      <t xml:space="preserve">后大宗化</t>
    </r>
  </si>
  <si>
    <r>
      <rPr>
        <sz val="9"/>
        <color rgb="FF0000FF"/>
        <rFont val="Noto Sans CJK SC"/>
        <family val="2"/>
      </rPr>
      <t xml:space="preserve">产能可小步扩 </t>
    </r>
    <r>
      <rPr>
        <sz val="9"/>
        <color rgb="FF0000FF"/>
        <rFont val="KaiTi"/>
        <family val="0"/>
        <charset val="1"/>
      </rPr>
      <t xml:space="preserve">+ </t>
    </r>
    <r>
      <rPr>
        <sz val="9"/>
        <color rgb="FF0000FF"/>
        <rFont val="Noto Sans CJK SC"/>
        <family val="2"/>
      </rPr>
      <t xml:space="preserve">客户高度集中，两条硬伤</t>
    </r>
  </si>
  <si>
    <r>
      <rPr>
        <b val="true"/>
        <sz val="9"/>
        <color rgb="FF000000"/>
        <rFont val="Noto Sans CJK SC"/>
        <family val="2"/>
      </rPr>
      <t xml:space="preserve">电子布 </t>
    </r>
    <r>
      <rPr>
        <b val="true"/>
        <sz val="9"/>
        <color rgb="FF000000"/>
        <rFont val="KaiTi"/>
        <family val="0"/>
        <charset val="1"/>
      </rPr>
      <t xml:space="preserve">/ </t>
    </r>
    <r>
      <rPr>
        <b val="true"/>
        <sz val="9"/>
        <color rgb="FF000000"/>
        <rFont val="Noto Sans CJK SC"/>
        <family val="2"/>
      </rPr>
      <t xml:space="preserve">特种材料</t>
    </r>
  </si>
  <si>
    <r>
      <rPr>
        <sz val="8.5"/>
        <color rgb="FF000000"/>
        <rFont val="Noto Sans CJK SC"/>
        <family val="2"/>
      </rPr>
      <t xml:space="preserve">认证周期 </t>
    </r>
    <r>
      <rPr>
        <sz val="8.5"/>
        <color rgb="FF000000"/>
        <rFont val="KaiTi"/>
        <family val="0"/>
        <charset val="1"/>
      </rPr>
      <t xml:space="preserve">&gt;18 </t>
    </r>
    <r>
      <rPr>
        <sz val="8.5"/>
        <color rgb="FF000000"/>
        <rFont val="Noto Sans CJK SC"/>
        <family val="2"/>
      </rPr>
      <t xml:space="preserve">个月</t>
    </r>
  </si>
  <si>
    <t xml:space="preserve">维持有序寡头</t>
  </si>
  <si>
    <t xml:space="preserve">认证周期是最被低估的壁垒变量</t>
  </si>
  <si>
    <r>
      <rPr>
        <b val="true"/>
        <sz val="9"/>
        <color rgb="FF000000"/>
        <rFont val="Noto Sans CJK SC"/>
        <family val="2"/>
      </rPr>
      <t xml:space="preserve">光模块 </t>
    </r>
    <r>
      <rPr>
        <b val="true"/>
        <sz val="9"/>
        <color rgb="FF000000"/>
        <rFont val="KaiTi"/>
        <family val="0"/>
        <charset val="1"/>
      </rPr>
      <t xml:space="preserve">/ OCS </t>
    </r>
    <r>
      <rPr>
        <b val="true"/>
        <sz val="9"/>
        <color rgb="FF000000"/>
        <rFont val="Noto Sans CJK SC"/>
        <family val="2"/>
      </rPr>
      <t xml:space="preserve">器件</t>
    </r>
  </si>
  <si>
    <t xml:space="preserve">客户自研风险持续存在</t>
  </si>
  <si>
    <r>
      <rPr>
        <sz val="9"/>
        <color rgb="FF0000FF"/>
        <rFont val="Noto Sans CJK SC"/>
        <family val="2"/>
      </rPr>
      <t xml:space="preserve">占客户 </t>
    </r>
    <r>
      <rPr>
        <sz val="9"/>
        <color rgb="FF0000FF"/>
        <rFont val="KaiTi"/>
        <family val="0"/>
        <charset val="1"/>
      </rPr>
      <t xml:space="preserve">BOM </t>
    </r>
    <r>
      <rPr>
        <sz val="9"/>
        <color rgb="FF0000FF"/>
        <rFont val="Noto Sans CJK SC"/>
        <family val="2"/>
      </rPr>
      <t xml:space="preserve">比重决定自研动机，须逐年跟踪</t>
    </r>
  </si>
  <si>
    <t xml:space="preserve">存储模组</t>
  </si>
  <si>
    <t xml:space="preserve">被夹层典型</t>
  </si>
  <si>
    <r>
      <rPr>
        <sz val="8.5"/>
        <color rgb="FF000000"/>
        <rFont val="Noto Sans CJK SC"/>
        <family val="2"/>
      </rPr>
      <t xml:space="preserve">上游三巨头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下游品牌双向挤压</t>
    </r>
  </si>
  <si>
    <t xml:space="preserve">上下游相对集中度单因子即可决定命运</t>
  </si>
  <si>
    <t xml:space="preserve">工业气体</t>
  </si>
  <si>
    <r>
      <rPr>
        <sz val="8.5"/>
        <color rgb="FF000000"/>
        <rFont val="Noto Sans CJK SC"/>
        <family val="2"/>
      </rPr>
      <t xml:space="preserve">现场制气长协 </t>
    </r>
    <r>
      <rPr>
        <sz val="8.5"/>
        <color rgb="FF000000"/>
        <rFont val="KaiTi"/>
        <family val="0"/>
        <charset val="1"/>
      </rPr>
      <t xml:space="preserve">+ </t>
    </r>
    <r>
      <rPr>
        <sz val="8.5"/>
        <color rgb="FF000000"/>
        <rFont val="Noto Sans CJK SC"/>
        <family val="2"/>
      </rPr>
      <t xml:space="preserve">资产属性</t>
    </r>
  </si>
  <si>
    <t xml:space="preserve">合同结构本身可以构成壁垒，不必依赖技术</t>
  </si>
  <si>
    <r>
      <rPr>
        <b val="true"/>
        <sz val="9"/>
        <color rgb="FF000000"/>
        <rFont val="KaiTi"/>
        <family val="0"/>
        <charset val="1"/>
      </rPr>
      <t xml:space="preserve">MLCC / </t>
    </r>
    <r>
      <rPr>
        <b val="true"/>
        <sz val="9"/>
        <color rgb="FF000000"/>
        <rFont val="Noto Sans CJK SC"/>
        <family val="2"/>
      </rPr>
      <t xml:space="preserve">被动元件</t>
    </r>
  </si>
  <si>
    <t xml:space="preserve">有序寡头（日厂主导）</t>
  </si>
  <si>
    <t xml:space="preserve">国产替代期壁垒临时抬升</t>
  </si>
  <si>
    <t xml:space="preserve">替代完成后须重新判定格局，不可沿用替代期结论</t>
  </si>
  <si>
    <t xml:space="preserve">大宗化工中间体</t>
  </si>
  <si>
    <t xml:space="preserve">大宗化</t>
  </si>
  <si>
    <r>
      <rPr>
        <sz val="8.5"/>
        <color rgb="FF000000"/>
        <rFont val="Noto Sans CJK SC"/>
        <family val="2"/>
      </rPr>
      <t xml:space="preserve">除非有环评</t>
    </r>
    <r>
      <rPr>
        <sz val="8.5"/>
        <color rgb="FF000000"/>
        <rFont val="KaiTi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能耗指标约束</t>
    </r>
  </si>
  <si>
    <t xml:space="preserve">行政性供给约束可以人造格局，但随政策转向而消失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</si>
</sst>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Noto Sans CJK SC"/>
      <family val="2"/>
    </font>
    <font>
      <b val="true"/>
      <sz val="13"/>
      <color rgb="FF1F3864"/>
      <name val="KaiTi"/>
      <family val="0"/>
      <charset val="1"/>
    </font>
    <font>
      <i val="true"/>
      <sz val="9"/>
      <color rgb="FF7F7F7F"/>
      <name val="Noto Sans CJK SC"/>
      <family val="2"/>
    </font>
    <font>
      <b val="true"/>
      <sz val="9.5"/>
      <color rgb="FFFFFFFF"/>
      <name val="Noto Sans CJK SC"/>
      <family val="2"/>
    </font>
    <font>
      <b val="true"/>
      <sz val="9.5"/>
      <color rgb="FFFFFFFF"/>
      <name val="KaiTi"/>
      <family val="0"/>
      <charset val="1"/>
    </font>
    <font>
      <b val="true"/>
      <sz val="10.5"/>
      <color rgb="FF1F3864"/>
      <name val="Noto Sans CJK SC"/>
      <family val="2"/>
    </font>
    <font>
      <b val="true"/>
      <sz val="10.5"/>
      <color rgb="FF1F3864"/>
      <name val="KaiTi"/>
      <family val="0"/>
      <charset val="1"/>
    </font>
    <font>
      <b val="true"/>
      <sz val="8.5"/>
      <color rgb="FF000000"/>
      <name val="Noto Sans CJK SC"/>
      <family val="2"/>
    </font>
    <font>
      <b val="true"/>
      <sz val="8.5"/>
      <color rgb="FF000000"/>
      <name val="KaiTi"/>
      <family val="0"/>
      <charset val="1"/>
    </font>
    <font>
      <sz val="8.5"/>
      <color rgb="FF7F7F7F"/>
      <name val="KaiTi"/>
      <family val="0"/>
      <charset val="1"/>
    </font>
    <font>
      <sz val="8.5"/>
      <color rgb="FF7F7F7F"/>
      <name val="Noto Sans CJK SC"/>
      <family val="2"/>
    </font>
    <font>
      <b val="true"/>
      <sz val="9"/>
      <color rgb="FF000000"/>
      <name val="Noto Sans CJK SC"/>
      <family val="2"/>
    </font>
    <font>
      <sz val="9"/>
      <color rgb="FF0000FF"/>
      <name val="Noto Sans CJK SC"/>
      <family val="2"/>
    </font>
    <font>
      <sz val="9"/>
      <color rgb="FF0000FF"/>
      <name val="KaiTi"/>
      <family val="0"/>
      <charset val="1"/>
    </font>
    <font>
      <sz val="8.5"/>
      <color rgb="FF000000"/>
      <name val="Noto Sans CJK SC"/>
      <family val="2"/>
    </font>
    <font>
      <sz val="8.5"/>
      <color rgb="FF000000"/>
      <name val="KaiTi"/>
      <family val="0"/>
      <charset val="1"/>
    </font>
    <font>
      <sz val="8.5"/>
      <color rgb="FFC00000"/>
      <name val="Noto Sans CJK SC"/>
      <family val="2"/>
    </font>
    <font>
      <sz val="8.5"/>
      <color rgb="FFC00000"/>
      <name val="KaiTi"/>
      <family val="0"/>
      <charset val="1"/>
    </font>
    <font>
      <b val="true"/>
      <sz val="9"/>
      <color rgb="FF000000"/>
      <name val="KaiTi"/>
      <family val="0"/>
      <charset val="1"/>
    </font>
    <font>
      <i val="true"/>
      <sz val="9"/>
      <color rgb="FF7F7F7F"/>
      <name val="KaiTi"/>
      <family val="0"/>
      <charset val="1"/>
    </font>
    <font>
      <b val="true"/>
      <sz val="10"/>
      <color rgb="FF000000"/>
      <name val="Times New Roman"/>
      <family val="0"/>
      <charset val="1"/>
    </font>
    <font>
      <b val="true"/>
      <sz val="10"/>
      <color rgb="FF0000FF"/>
      <name val="Times New Roman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KaiTi"/>
      <family val="0"/>
      <charset val="1"/>
    </font>
    <font>
      <b val="true"/>
      <sz val="10"/>
      <color rgb="FF000000"/>
      <name val="KaiTi"/>
      <family val="0"/>
      <charset val="1"/>
    </font>
    <font>
      <sz val="8.5"/>
      <color rgb="FF0000FF"/>
      <name val="Noto Sans CJK SC"/>
      <family val="2"/>
    </font>
    <font>
      <sz val="8.5"/>
      <color rgb="FF0000FF"/>
      <name val="KaiTi"/>
      <family val="0"/>
      <charset val="1"/>
    </font>
    <font>
      <sz val="7.5"/>
      <color rgb="FF7F7F7F"/>
      <name val="KaiTi"/>
      <family val="0"/>
      <charset val="1"/>
    </font>
    <font>
      <sz val="8"/>
      <color rgb="FF000000"/>
      <name val="KaiTi"/>
      <family val="0"/>
      <charset val="1"/>
    </font>
    <font>
      <sz val="8"/>
      <color rgb="FF000000"/>
      <name val="Noto Sans CJK SC"/>
      <family val="2"/>
    </font>
    <font>
      <b val="true"/>
      <sz val="9.5"/>
      <color rgb="FF0000FF"/>
      <name val="Times New Roman"/>
      <family val="0"/>
      <charset val="1"/>
    </font>
    <font>
      <b val="true"/>
      <sz val="9.5"/>
      <color rgb="FF000000"/>
      <name val="Times New Roman"/>
      <family val="0"/>
      <charset val="1"/>
    </font>
    <font>
      <sz val="7.5"/>
      <color rgb="FF7F7F7F"/>
      <name val="Noto Sans CJK SC"/>
      <family val="2"/>
    </font>
    <font>
      <sz val="8.5"/>
      <color rgb="FF000000"/>
      <name val="Times New Roman"/>
      <family val="0"/>
      <charset val="1"/>
    </font>
    <font>
      <b val="true"/>
      <sz val="9.5"/>
      <color rgb="FF008000"/>
      <name val="Times New Roman"/>
      <family val="0"/>
      <charset val="1"/>
    </font>
    <font>
      <sz val="7.5"/>
      <color rgb="FF008000"/>
      <name val="KaiTi"/>
      <family val="0"/>
      <charset val="1"/>
    </font>
    <font>
      <sz val="8"/>
      <color rgb="FF008000"/>
      <name val="KaiTi"/>
      <family val="0"/>
      <charset val="1"/>
    </font>
    <font>
      <sz val="9"/>
      <color rgb="FF000000"/>
      <name val="Noto Sans CJK SC"/>
      <family val="2"/>
    </font>
    <font>
      <sz val="9"/>
      <color rgb="FF000000"/>
      <name val="KaiTi"/>
      <family val="0"/>
      <charset val="1"/>
    </font>
    <font>
      <b val="true"/>
      <sz val="8.5"/>
      <color rgb="FF7F7F7F"/>
      <name val="Noto Sans CJK SC"/>
      <family val="2"/>
    </font>
    <font>
      <b val="true"/>
      <sz val="9"/>
      <color rgb="FF000000"/>
      <name val="Times New Roman"/>
      <family val="0"/>
      <charset val="1"/>
    </font>
    <font>
      <sz val="8.5"/>
      <color rgb="FF7F7F7F"/>
      <name val="Times New Roman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color rgb="FF000000"/>
      <name val="Times New Roman"/>
      <family val="0"/>
      <charset val="1"/>
    </font>
    <font>
      <b val="true"/>
      <sz val="11"/>
      <color rgb="FFC00000"/>
      <name val="Noto Sans CJK SC"/>
      <family val="2"/>
    </font>
    <font>
      <b val="true"/>
      <sz val="9.5"/>
      <color rgb="FF000000"/>
      <name val="Noto Sans CJK SC"/>
      <family val="2"/>
    </font>
    <font>
      <b val="true"/>
      <sz val="9.5"/>
      <color rgb="FF000000"/>
      <name val="KaiTi"/>
      <family val="0"/>
      <charset val="1"/>
    </font>
    <font>
      <b val="true"/>
      <sz val="9.5"/>
      <color rgb="FF008000"/>
      <name val="KaiT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F0E3"/>
        <bgColor rgb="FFEDF1F8"/>
      </patternFill>
    </fill>
    <fill>
      <patternFill patternType="solid">
        <fgColor rgb="FFFDF3D8"/>
        <bgColor rgb="FFFBE4E8"/>
      </patternFill>
    </fill>
    <fill>
      <patternFill patternType="solid">
        <fgColor rgb="FFFBE4E8"/>
        <bgColor rgb="FFFDF3D8"/>
      </patternFill>
    </fill>
    <fill>
      <patternFill patternType="solid">
        <fgColor rgb="FFC9D5EA"/>
        <bgColor rgb="FFD0D0D0"/>
      </patternFill>
    </fill>
    <fill>
      <patternFill patternType="solid">
        <fgColor rgb="FFFFF2A8"/>
        <bgColor rgb="FFFDF3D8"/>
      </patternFill>
    </fill>
    <fill>
      <patternFill patternType="solid">
        <fgColor rgb="FFEDF1F8"/>
        <bgColor rgb="FFE7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F0E3"/>
          <bgColor rgb="FF000000"/>
        </patternFill>
      </fill>
    </dxf>
    <dxf>
      <fill>
        <patternFill patternType="solid">
          <fgColor rgb="FFFBE4E8"/>
          <bgColor rgb="FF000000"/>
        </patternFill>
      </fill>
    </dxf>
    <dxf>
      <fill>
        <patternFill patternType="solid">
          <fgColor rgb="FFFDF3D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F1F8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7F7F7F"/>
      <rgbColor rgb="FF9999FF"/>
      <rgbColor rgb="FF993366"/>
      <rgbColor rgb="FFFDF3D8"/>
      <rgbColor rgb="FFE7F0E3"/>
      <rgbColor rgb="FF660066"/>
      <rgbColor rgb="FFFF8080"/>
      <rgbColor rgb="FF0066CC"/>
      <rgbColor rgb="FFC9D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8"/>
      <rgbColor rgb="FFC6EFCE"/>
      <rgbColor rgb="FFFFF2A8"/>
      <rgbColor rgb="FFFBE4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0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6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9.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A6" s="5" t="s">
        <v>11</v>
      </c>
      <c r="B6" s="6" t="s">
        <v>12</v>
      </c>
      <c r="C6" s="7" t="s">
        <v>13</v>
      </c>
      <c r="D6" s="8" t="s">
        <v>14</v>
      </c>
      <c r="E6" s="9" t="s">
        <v>15</v>
      </c>
      <c r="F6" s="10" t="s">
        <v>16</v>
      </c>
      <c r="G6" s="9" t="s">
        <v>17</v>
      </c>
      <c r="H6" s="11" t="s">
        <v>18</v>
      </c>
    </row>
    <row r="7" customFormat="false" ht="25.5" hidden="false" customHeight="true" outlineLevel="0" collapsed="false">
      <c r="A7" s="5" t="s">
        <v>11</v>
      </c>
      <c r="B7" s="6" t="s">
        <v>12</v>
      </c>
      <c r="C7" s="7" t="s">
        <v>19</v>
      </c>
      <c r="D7" s="8" t="s">
        <v>20</v>
      </c>
      <c r="E7" s="9" t="s">
        <v>21</v>
      </c>
      <c r="F7" s="12" t="s">
        <v>22</v>
      </c>
      <c r="G7" s="9" t="s">
        <v>23</v>
      </c>
      <c r="H7" s="11" t="s">
        <v>24</v>
      </c>
    </row>
    <row r="8" customFormat="false" ht="25.5" hidden="false" customHeight="true" outlineLevel="0" collapsed="false">
      <c r="A8" s="5" t="s">
        <v>11</v>
      </c>
      <c r="B8" s="6" t="s">
        <v>12</v>
      </c>
      <c r="C8" s="7" t="s">
        <v>25</v>
      </c>
      <c r="D8" s="8" t="s">
        <v>26</v>
      </c>
      <c r="E8" s="9" t="s">
        <v>27</v>
      </c>
      <c r="F8" s="12" t="s">
        <v>22</v>
      </c>
      <c r="G8" s="9" t="s">
        <v>28</v>
      </c>
      <c r="H8" s="11" t="s">
        <v>29</v>
      </c>
    </row>
    <row r="9" customFormat="false" ht="25.5" hidden="false" customHeight="true" outlineLevel="0" collapsed="false">
      <c r="A9" s="5" t="s">
        <v>11</v>
      </c>
      <c r="B9" s="6" t="s">
        <v>12</v>
      </c>
      <c r="C9" s="13" t="s">
        <v>30</v>
      </c>
      <c r="D9" s="14" t="s">
        <v>31</v>
      </c>
      <c r="E9" s="15" t="s">
        <v>32</v>
      </c>
      <c r="F9" s="12" t="s">
        <v>22</v>
      </c>
      <c r="G9" s="15" t="s">
        <v>22</v>
      </c>
      <c r="H9" s="11" t="s">
        <v>33</v>
      </c>
    </row>
    <row r="10" customFormat="false" ht="25.5" hidden="false" customHeight="true" outlineLevel="0" collapsed="false">
      <c r="A10" s="5" t="s">
        <v>11</v>
      </c>
      <c r="B10" s="6" t="s">
        <v>12</v>
      </c>
      <c r="C10" s="7" t="s">
        <v>34</v>
      </c>
      <c r="D10" s="14" t="s">
        <v>35</v>
      </c>
      <c r="E10" s="9" t="s">
        <v>36</v>
      </c>
      <c r="F10" s="10" t="s">
        <v>37</v>
      </c>
      <c r="G10" s="9" t="s">
        <v>38</v>
      </c>
      <c r="H10" s="11" t="s">
        <v>39</v>
      </c>
    </row>
    <row r="11" customFormat="false" ht="19.5" hidden="false" customHeight="true" outlineLevel="0" collapsed="false">
      <c r="A11" s="4" t="s">
        <v>40</v>
      </c>
      <c r="B11" s="4"/>
      <c r="C11" s="4"/>
      <c r="D11" s="4"/>
      <c r="E11" s="4"/>
      <c r="F11" s="4"/>
      <c r="G11" s="4"/>
      <c r="H11" s="4"/>
    </row>
    <row r="12" customFormat="false" ht="25.5" hidden="false" customHeight="true" outlineLevel="0" collapsed="false">
      <c r="A12" s="5" t="s">
        <v>11</v>
      </c>
      <c r="B12" s="6" t="s">
        <v>41</v>
      </c>
      <c r="C12" s="7" t="s">
        <v>42</v>
      </c>
      <c r="D12" s="8" t="s">
        <v>43</v>
      </c>
      <c r="E12" s="9" t="s">
        <v>44</v>
      </c>
      <c r="F12" s="10" t="s">
        <v>45</v>
      </c>
      <c r="G12" s="9" t="s">
        <v>46</v>
      </c>
      <c r="H12" s="11" t="s">
        <v>47</v>
      </c>
    </row>
    <row r="13" customFormat="false" ht="25.5" hidden="false" customHeight="true" outlineLevel="0" collapsed="false">
      <c r="A13" s="5" t="s">
        <v>11</v>
      </c>
      <c r="B13" s="6" t="s">
        <v>41</v>
      </c>
      <c r="C13" s="7" t="s">
        <v>48</v>
      </c>
      <c r="D13" s="8" t="s">
        <v>49</v>
      </c>
      <c r="E13" s="9" t="s">
        <v>50</v>
      </c>
      <c r="F13" s="10" t="s">
        <v>51</v>
      </c>
      <c r="G13" s="9" t="s">
        <v>52</v>
      </c>
      <c r="H13" s="11" t="s">
        <v>53</v>
      </c>
    </row>
    <row r="14" customFormat="false" ht="25.5" hidden="false" customHeight="true" outlineLevel="0" collapsed="false">
      <c r="A14" s="5" t="s">
        <v>11</v>
      </c>
      <c r="B14" s="6" t="s">
        <v>41</v>
      </c>
      <c r="C14" s="7" t="s">
        <v>54</v>
      </c>
      <c r="D14" s="8" t="s">
        <v>55</v>
      </c>
      <c r="E14" s="15" t="s">
        <v>56</v>
      </c>
      <c r="F14" s="10" t="s">
        <v>57</v>
      </c>
      <c r="G14" s="15" t="s">
        <v>58</v>
      </c>
      <c r="H14" s="11" t="s">
        <v>59</v>
      </c>
    </row>
    <row r="15" customFormat="false" ht="25.5" hidden="false" customHeight="true" outlineLevel="0" collapsed="false">
      <c r="A15" s="5" t="s">
        <v>11</v>
      </c>
      <c r="B15" s="6" t="s">
        <v>41</v>
      </c>
      <c r="C15" s="7" t="s">
        <v>60</v>
      </c>
      <c r="D15" s="8" t="s">
        <v>61</v>
      </c>
      <c r="E15" s="9" t="s">
        <v>62</v>
      </c>
      <c r="F15" s="10" t="s">
        <v>63</v>
      </c>
      <c r="G15" s="9" t="s">
        <v>64</v>
      </c>
      <c r="H15" s="11" t="s">
        <v>65</v>
      </c>
    </row>
    <row r="16" customFormat="false" ht="25.5" hidden="false" customHeight="true" outlineLevel="0" collapsed="false">
      <c r="A16" s="5" t="s">
        <v>11</v>
      </c>
      <c r="B16" s="6" t="s">
        <v>41</v>
      </c>
      <c r="C16" s="7" t="s">
        <v>66</v>
      </c>
      <c r="D16" s="8" t="s">
        <v>67</v>
      </c>
      <c r="E16" s="15" t="s">
        <v>68</v>
      </c>
      <c r="F16" s="10" t="s">
        <v>69</v>
      </c>
      <c r="G16" s="9" t="s">
        <v>70</v>
      </c>
      <c r="H16" s="11" t="s">
        <v>71</v>
      </c>
    </row>
    <row r="17" customFormat="false" ht="19.5" hidden="false" customHeight="true" outlineLevel="0" collapsed="false">
      <c r="A17" s="4" t="s">
        <v>72</v>
      </c>
      <c r="B17" s="4"/>
      <c r="C17" s="4"/>
      <c r="D17" s="4"/>
      <c r="E17" s="4"/>
      <c r="F17" s="4"/>
      <c r="G17" s="4"/>
      <c r="H17" s="4"/>
    </row>
    <row r="18" customFormat="false" ht="25.5" hidden="false" customHeight="true" outlineLevel="0" collapsed="false">
      <c r="A18" s="5" t="s">
        <v>11</v>
      </c>
      <c r="B18" s="6" t="s">
        <v>73</v>
      </c>
      <c r="C18" s="7" t="s">
        <v>74</v>
      </c>
      <c r="D18" s="8" t="s">
        <v>75</v>
      </c>
      <c r="E18" s="9" t="s">
        <v>76</v>
      </c>
      <c r="F18" s="10" t="s">
        <v>77</v>
      </c>
      <c r="G18" s="9" t="s">
        <v>78</v>
      </c>
      <c r="H18" s="11" t="s">
        <v>79</v>
      </c>
    </row>
    <row r="19" customFormat="false" ht="25.5" hidden="false" customHeight="true" outlineLevel="0" collapsed="false">
      <c r="A19" s="5" t="s">
        <v>11</v>
      </c>
      <c r="B19" s="6" t="s">
        <v>73</v>
      </c>
      <c r="C19" s="7" t="s">
        <v>80</v>
      </c>
      <c r="D19" s="8" t="s">
        <v>81</v>
      </c>
      <c r="E19" s="9" t="s">
        <v>82</v>
      </c>
      <c r="F19" s="10" t="s">
        <v>83</v>
      </c>
      <c r="G19" s="9" t="s">
        <v>84</v>
      </c>
      <c r="H19" s="11" t="s">
        <v>85</v>
      </c>
    </row>
    <row r="20" customFormat="false" ht="25.5" hidden="false" customHeight="true" outlineLevel="0" collapsed="false">
      <c r="A20" s="5" t="s">
        <v>11</v>
      </c>
      <c r="B20" s="6" t="s">
        <v>73</v>
      </c>
      <c r="C20" s="7" t="s">
        <v>86</v>
      </c>
      <c r="D20" s="8" t="s">
        <v>87</v>
      </c>
      <c r="E20" s="9" t="s">
        <v>88</v>
      </c>
      <c r="F20" s="10" t="s">
        <v>89</v>
      </c>
      <c r="G20" s="9" t="s">
        <v>90</v>
      </c>
      <c r="H20" s="11" t="s">
        <v>91</v>
      </c>
    </row>
    <row r="21" customFormat="false" ht="25.5" hidden="false" customHeight="true" outlineLevel="0" collapsed="false">
      <c r="A21" s="5" t="s">
        <v>11</v>
      </c>
      <c r="B21" s="6" t="s">
        <v>73</v>
      </c>
      <c r="C21" s="7" t="s">
        <v>92</v>
      </c>
      <c r="D21" s="8" t="s">
        <v>93</v>
      </c>
      <c r="E21" s="9" t="s">
        <v>94</v>
      </c>
      <c r="F21" s="10" t="s">
        <v>95</v>
      </c>
      <c r="G21" s="9" t="s">
        <v>96</v>
      </c>
      <c r="H21" s="11" t="s">
        <v>97</v>
      </c>
    </row>
    <row r="22" customFormat="false" ht="25.5" hidden="false" customHeight="true" outlineLevel="0" collapsed="false">
      <c r="A22" s="5" t="s">
        <v>11</v>
      </c>
      <c r="B22" s="6" t="s">
        <v>73</v>
      </c>
      <c r="C22" s="7" t="s">
        <v>98</v>
      </c>
      <c r="D22" s="8" t="s">
        <v>99</v>
      </c>
      <c r="E22" s="9" t="s">
        <v>100</v>
      </c>
      <c r="F22" s="10" t="s">
        <v>101</v>
      </c>
      <c r="G22" s="9" t="s">
        <v>102</v>
      </c>
      <c r="H22" s="11" t="s">
        <v>103</v>
      </c>
    </row>
    <row r="23" customFormat="false" ht="25.5" hidden="false" customHeight="true" outlineLevel="0" collapsed="false">
      <c r="A23" s="5" t="s">
        <v>11</v>
      </c>
      <c r="B23" s="6" t="s">
        <v>73</v>
      </c>
      <c r="C23" s="7" t="s">
        <v>104</v>
      </c>
      <c r="D23" s="8" t="s">
        <v>105</v>
      </c>
      <c r="E23" s="9" t="s">
        <v>106</v>
      </c>
      <c r="F23" s="10" t="s">
        <v>107</v>
      </c>
      <c r="G23" s="9" t="s">
        <v>108</v>
      </c>
      <c r="H23" s="11" t="s">
        <v>109</v>
      </c>
    </row>
    <row r="24" customFormat="false" ht="25.5" hidden="false" customHeight="true" outlineLevel="0" collapsed="false">
      <c r="A24" s="5" t="s">
        <v>11</v>
      </c>
      <c r="B24" s="6" t="s">
        <v>73</v>
      </c>
      <c r="C24" s="7" t="s">
        <v>110</v>
      </c>
      <c r="D24" s="8" t="s">
        <v>111</v>
      </c>
      <c r="E24" s="9" t="s">
        <v>112</v>
      </c>
      <c r="F24" s="10" t="s">
        <v>113</v>
      </c>
      <c r="G24" s="9" t="s">
        <v>114</v>
      </c>
      <c r="H24" s="11" t="s">
        <v>115</v>
      </c>
    </row>
    <row r="25" customFormat="false" ht="25.5" hidden="false" customHeight="true" outlineLevel="0" collapsed="false">
      <c r="A25" s="5" t="s">
        <v>11</v>
      </c>
      <c r="B25" s="6" t="s">
        <v>73</v>
      </c>
      <c r="C25" s="7" t="s">
        <v>116</v>
      </c>
      <c r="D25" s="8" t="s">
        <v>117</v>
      </c>
      <c r="E25" s="9" t="s">
        <v>118</v>
      </c>
      <c r="F25" s="10" t="s">
        <v>119</v>
      </c>
      <c r="G25" s="9" t="s">
        <v>120</v>
      </c>
      <c r="H25" s="11" t="s">
        <v>121</v>
      </c>
    </row>
    <row r="26" customFormat="false" ht="19.5" hidden="false" customHeight="true" outlineLevel="0" collapsed="false">
      <c r="A26" s="4" t="s">
        <v>122</v>
      </c>
      <c r="B26" s="4"/>
      <c r="C26" s="4"/>
      <c r="D26" s="4"/>
      <c r="E26" s="4"/>
      <c r="F26" s="4"/>
      <c r="G26" s="4"/>
      <c r="H26" s="4"/>
    </row>
    <row r="27" customFormat="false" ht="25.5" hidden="false" customHeight="true" outlineLevel="0" collapsed="false">
      <c r="A27" s="5" t="s">
        <v>11</v>
      </c>
      <c r="B27" s="6" t="s">
        <v>123</v>
      </c>
      <c r="C27" s="7" t="s">
        <v>124</v>
      </c>
      <c r="D27" s="8" t="s">
        <v>125</v>
      </c>
      <c r="E27" s="15" t="s">
        <v>126</v>
      </c>
      <c r="F27" s="12" t="s">
        <v>127</v>
      </c>
      <c r="G27" s="9" t="s">
        <v>128</v>
      </c>
      <c r="H27" s="11" t="s">
        <v>129</v>
      </c>
    </row>
    <row r="28" customFormat="false" ht="25.5" hidden="false" customHeight="true" outlineLevel="0" collapsed="false">
      <c r="A28" s="5" t="s">
        <v>11</v>
      </c>
      <c r="B28" s="6" t="s">
        <v>123</v>
      </c>
      <c r="C28" s="7" t="s">
        <v>130</v>
      </c>
      <c r="D28" s="8" t="s">
        <v>131</v>
      </c>
      <c r="E28" s="9" t="s">
        <v>132</v>
      </c>
      <c r="F28" s="10" t="s">
        <v>133</v>
      </c>
      <c r="G28" s="9" t="s">
        <v>134</v>
      </c>
      <c r="H28" s="11" t="s">
        <v>135</v>
      </c>
    </row>
    <row r="29" customFormat="false" ht="25.5" hidden="false" customHeight="true" outlineLevel="0" collapsed="false">
      <c r="A29" s="5" t="s">
        <v>11</v>
      </c>
      <c r="B29" s="6" t="s">
        <v>123</v>
      </c>
      <c r="C29" s="7" t="s">
        <v>136</v>
      </c>
      <c r="D29" s="8" t="s">
        <v>137</v>
      </c>
      <c r="E29" s="9" t="s">
        <v>138</v>
      </c>
      <c r="F29" s="10" t="s">
        <v>139</v>
      </c>
      <c r="G29" s="9" t="s">
        <v>140</v>
      </c>
      <c r="H29" s="11" t="s">
        <v>141</v>
      </c>
    </row>
    <row r="30" customFormat="false" ht="25.5" hidden="false" customHeight="true" outlineLevel="0" collapsed="false">
      <c r="A30" s="5" t="s">
        <v>11</v>
      </c>
      <c r="B30" s="6" t="s">
        <v>123</v>
      </c>
      <c r="C30" s="7" t="s">
        <v>142</v>
      </c>
      <c r="D30" s="8" t="s">
        <v>143</v>
      </c>
      <c r="E30" s="9" t="s">
        <v>144</v>
      </c>
      <c r="F30" s="10" t="s">
        <v>145</v>
      </c>
      <c r="G30" s="9" t="s">
        <v>146</v>
      </c>
      <c r="H30" s="11" t="s">
        <v>147</v>
      </c>
    </row>
    <row r="31" customFormat="false" ht="25.5" hidden="false" customHeight="true" outlineLevel="0" collapsed="false">
      <c r="A31" s="5" t="s">
        <v>11</v>
      </c>
      <c r="B31" s="6" t="s">
        <v>123</v>
      </c>
      <c r="C31" s="7" t="s">
        <v>148</v>
      </c>
      <c r="D31" s="8" t="s">
        <v>149</v>
      </c>
      <c r="E31" s="9" t="s">
        <v>150</v>
      </c>
      <c r="F31" s="10" t="s">
        <v>151</v>
      </c>
      <c r="G31" s="9" t="s">
        <v>152</v>
      </c>
      <c r="H31" s="11" t="s">
        <v>153</v>
      </c>
    </row>
    <row r="32" customFormat="false" ht="19.5" hidden="false" customHeight="true" outlineLevel="0" collapsed="false">
      <c r="A32" s="4" t="s">
        <v>154</v>
      </c>
      <c r="B32" s="4"/>
      <c r="C32" s="4"/>
      <c r="D32" s="4"/>
      <c r="E32" s="4"/>
      <c r="F32" s="4"/>
      <c r="G32" s="4"/>
      <c r="H32" s="4"/>
    </row>
    <row r="33" customFormat="false" ht="25.5" hidden="false" customHeight="true" outlineLevel="0" collapsed="false">
      <c r="A33" s="5" t="s">
        <v>11</v>
      </c>
      <c r="B33" s="6" t="s">
        <v>155</v>
      </c>
      <c r="C33" s="7" t="s">
        <v>156</v>
      </c>
      <c r="D33" s="14" t="s">
        <v>157</v>
      </c>
      <c r="E33" s="9" t="s">
        <v>158</v>
      </c>
      <c r="F33" s="12" t="s">
        <v>159</v>
      </c>
      <c r="G33" s="9" t="s">
        <v>160</v>
      </c>
      <c r="H33" s="11" t="s">
        <v>161</v>
      </c>
    </row>
    <row r="34" customFormat="false" ht="25.5" hidden="false" customHeight="true" outlineLevel="0" collapsed="false">
      <c r="A34" s="5" t="s">
        <v>11</v>
      </c>
      <c r="B34" s="6" t="s">
        <v>155</v>
      </c>
      <c r="C34" s="7" t="s">
        <v>162</v>
      </c>
      <c r="D34" s="8" t="s">
        <v>163</v>
      </c>
      <c r="E34" s="9" t="s">
        <v>164</v>
      </c>
      <c r="F34" s="10" t="s">
        <v>165</v>
      </c>
      <c r="G34" s="9" t="s">
        <v>166</v>
      </c>
      <c r="H34" s="11" t="s">
        <v>167</v>
      </c>
    </row>
    <row r="35" customFormat="false" ht="25.5" hidden="false" customHeight="true" outlineLevel="0" collapsed="false">
      <c r="A35" s="5" t="s">
        <v>11</v>
      </c>
      <c r="B35" s="6" t="s">
        <v>155</v>
      </c>
      <c r="C35" s="7" t="s">
        <v>168</v>
      </c>
      <c r="D35" s="8" t="s">
        <v>169</v>
      </c>
      <c r="E35" s="9" t="s">
        <v>170</v>
      </c>
      <c r="F35" s="10" t="s">
        <v>171</v>
      </c>
      <c r="G35" s="9" t="s">
        <v>172</v>
      </c>
      <c r="H35" s="11" t="s">
        <v>173</v>
      </c>
    </row>
    <row r="36" customFormat="false" ht="25.5" hidden="false" customHeight="true" outlineLevel="0" collapsed="false">
      <c r="A36" s="5" t="s">
        <v>11</v>
      </c>
      <c r="B36" s="6" t="s">
        <v>155</v>
      </c>
      <c r="C36" s="7" t="s">
        <v>174</v>
      </c>
      <c r="D36" s="8" t="s">
        <v>175</v>
      </c>
      <c r="E36" s="9" t="s">
        <v>176</v>
      </c>
      <c r="F36" s="10" t="s">
        <v>177</v>
      </c>
      <c r="G36" s="9" t="s">
        <v>178</v>
      </c>
      <c r="H36" s="11" t="s">
        <v>179</v>
      </c>
    </row>
    <row r="37" customFormat="false" ht="25.5" hidden="false" customHeight="true" outlineLevel="0" collapsed="false">
      <c r="A37" s="5" t="s">
        <v>11</v>
      </c>
      <c r="B37" s="6" t="s">
        <v>155</v>
      </c>
      <c r="C37" s="7" t="s">
        <v>180</v>
      </c>
      <c r="D37" s="8" t="s">
        <v>181</v>
      </c>
      <c r="E37" s="9" t="s">
        <v>182</v>
      </c>
      <c r="F37" s="10" t="s">
        <v>183</v>
      </c>
      <c r="G37" s="9" t="s">
        <v>184</v>
      </c>
      <c r="H37" s="11" t="s">
        <v>185</v>
      </c>
    </row>
    <row r="38" customFormat="false" ht="19.5" hidden="false" customHeight="true" outlineLevel="0" collapsed="false">
      <c r="A38" s="4" t="s">
        <v>186</v>
      </c>
      <c r="B38" s="4"/>
      <c r="C38" s="4"/>
      <c r="D38" s="4"/>
      <c r="E38" s="4"/>
      <c r="F38" s="4"/>
      <c r="G38" s="4"/>
      <c r="H38" s="4"/>
    </row>
    <row r="39" customFormat="false" ht="25.5" hidden="false" customHeight="true" outlineLevel="0" collapsed="false">
      <c r="A39" s="5" t="s">
        <v>11</v>
      </c>
      <c r="B39" s="6" t="s">
        <v>187</v>
      </c>
      <c r="C39" s="7" t="s">
        <v>188</v>
      </c>
      <c r="D39" s="8" t="s">
        <v>189</v>
      </c>
      <c r="E39" s="9" t="s">
        <v>190</v>
      </c>
      <c r="F39" s="10" t="s">
        <v>177</v>
      </c>
      <c r="G39" s="9" t="s">
        <v>191</v>
      </c>
      <c r="H39" s="11" t="s">
        <v>192</v>
      </c>
    </row>
    <row r="40" customFormat="false" ht="25.5" hidden="false" customHeight="true" outlineLevel="0" collapsed="false">
      <c r="A40" s="5" t="s">
        <v>11</v>
      </c>
      <c r="B40" s="6" t="s">
        <v>187</v>
      </c>
      <c r="C40" s="7" t="s">
        <v>193</v>
      </c>
      <c r="D40" s="8" t="s">
        <v>194</v>
      </c>
      <c r="E40" s="9" t="s">
        <v>195</v>
      </c>
      <c r="F40" s="10" t="s">
        <v>196</v>
      </c>
      <c r="G40" s="9" t="s">
        <v>197</v>
      </c>
      <c r="H40" s="11" t="s">
        <v>198</v>
      </c>
    </row>
    <row r="41" customFormat="false" ht="25.5" hidden="false" customHeight="true" outlineLevel="0" collapsed="false">
      <c r="A41" s="5" t="s">
        <v>11</v>
      </c>
      <c r="B41" s="6" t="s">
        <v>187</v>
      </c>
      <c r="C41" s="7" t="s">
        <v>199</v>
      </c>
      <c r="D41" s="8" t="s">
        <v>200</v>
      </c>
      <c r="E41" s="9" t="s">
        <v>201</v>
      </c>
      <c r="F41" s="10" t="s">
        <v>202</v>
      </c>
      <c r="G41" s="9" t="s">
        <v>203</v>
      </c>
      <c r="H41" s="11" t="s">
        <v>204</v>
      </c>
    </row>
    <row r="42" customFormat="false" ht="25.5" hidden="false" customHeight="true" outlineLevel="0" collapsed="false">
      <c r="A42" s="5" t="s">
        <v>11</v>
      </c>
      <c r="B42" s="6" t="s">
        <v>187</v>
      </c>
      <c r="C42" s="7" t="s">
        <v>205</v>
      </c>
      <c r="D42" s="8" t="s">
        <v>206</v>
      </c>
      <c r="E42" s="9" t="s">
        <v>207</v>
      </c>
      <c r="F42" s="10" t="s">
        <v>208</v>
      </c>
      <c r="G42" s="9" t="s">
        <v>209</v>
      </c>
      <c r="H42" s="11" t="s">
        <v>210</v>
      </c>
    </row>
    <row r="43" customFormat="false" ht="19.5" hidden="false" customHeight="true" outlineLevel="0" collapsed="false">
      <c r="A43" s="4" t="s">
        <v>211</v>
      </c>
      <c r="B43" s="4"/>
      <c r="C43" s="4"/>
      <c r="D43" s="4"/>
      <c r="E43" s="4"/>
      <c r="F43" s="4"/>
      <c r="G43" s="4"/>
      <c r="H43" s="4"/>
    </row>
    <row r="44" customFormat="false" ht="25.5" hidden="false" customHeight="true" outlineLevel="0" collapsed="false">
      <c r="A44" s="5" t="s">
        <v>11</v>
      </c>
      <c r="B44" s="6" t="s">
        <v>212</v>
      </c>
      <c r="C44" s="7" t="s">
        <v>213</v>
      </c>
      <c r="D44" s="8" t="s">
        <v>214</v>
      </c>
      <c r="E44" s="9" t="s">
        <v>215</v>
      </c>
      <c r="F44" s="10" t="s">
        <v>216</v>
      </c>
      <c r="G44" s="9" t="s">
        <v>217</v>
      </c>
      <c r="H44" s="11" t="s">
        <v>218</v>
      </c>
    </row>
    <row r="45" customFormat="false" ht="25.5" hidden="false" customHeight="true" outlineLevel="0" collapsed="false">
      <c r="A45" s="5" t="s">
        <v>11</v>
      </c>
      <c r="B45" s="6" t="s">
        <v>212</v>
      </c>
      <c r="C45" s="7" t="s">
        <v>219</v>
      </c>
      <c r="D45" s="8" t="s">
        <v>220</v>
      </c>
      <c r="E45" s="9" t="s">
        <v>221</v>
      </c>
      <c r="F45" s="10" t="s">
        <v>222</v>
      </c>
      <c r="G45" s="9" t="s">
        <v>223</v>
      </c>
      <c r="H45" s="11" t="s">
        <v>224</v>
      </c>
    </row>
    <row r="46" customFormat="false" ht="25.5" hidden="false" customHeight="true" outlineLevel="0" collapsed="false">
      <c r="A46" s="5" t="s">
        <v>11</v>
      </c>
      <c r="B46" s="6" t="s">
        <v>212</v>
      </c>
      <c r="C46" s="7" t="s">
        <v>225</v>
      </c>
      <c r="D46" s="8" t="s">
        <v>226</v>
      </c>
      <c r="E46" s="9" t="s">
        <v>227</v>
      </c>
      <c r="F46" s="10" t="s">
        <v>228</v>
      </c>
      <c r="G46" s="9" t="s">
        <v>229</v>
      </c>
      <c r="H46" s="11" t="s">
        <v>230</v>
      </c>
    </row>
    <row r="47" customFormat="false" ht="25.5" hidden="false" customHeight="true" outlineLevel="0" collapsed="false">
      <c r="A47" s="5" t="s">
        <v>11</v>
      </c>
      <c r="B47" s="6" t="s">
        <v>212</v>
      </c>
      <c r="C47" s="7" t="s">
        <v>231</v>
      </c>
      <c r="D47" s="8" t="s">
        <v>232</v>
      </c>
      <c r="E47" s="9" t="s">
        <v>233</v>
      </c>
      <c r="F47" s="10" t="s">
        <v>234</v>
      </c>
      <c r="G47" s="9" t="s">
        <v>235</v>
      </c>
      <c r="H47" s="11" t="s">
        <v>236</v>
      </c>
    </row>
    <row r="48" customFormat="false" ht="19.5" hidden="false" customHeight="true" outlineLevel="0" collapsed="false">
      <c r="A48" s="4" t="s">
        <v>237</v>
      </c>
      <c r="B48" s="4"/>
      <c r="C48" s="4"/>
      <c r="D48" s="4"/>
      <c r="E48" s="4"/>
      <c r="F48" s="4"/>
      <c r="G48" s="4"/>
      <c r="H48" s="4"/>
    </row>
    <row r="49" customFormat="false" ht="25.5" hidden="false" customHeight="true" outlineLevel="0" collapsed="false">
      <c r="A49" s="5" t="s">
        <v>11</v>
      </c>
      <c r="B49" s="6" t="s">
        <v>238</v>
      </c>
      <c r="C49" s="7" t="s">
        <v>239</v>
      </c>
      <c r="D49" s="8" t="s">
        <v>240</v>
      </c>
      <c r="E49" s="9" t="s">
        <v>241</v>
      </c>
      <c r="F49" s="10" t="s">
        <v>133</v>
      </c>
      <c r="G49" s="9" t="s">
        <v>242</v>
      </c>
      <c r="H49" s="11" t="s">
        <v>243</v>
      </c>
    </row>
    <row r="50" customFormat="false" ht="25.5" hidden="false" customHeight="true" outlineLevel="0" collapsed="false">
      <c r="A50" s="5" t="s">
        <v>11</v>
      </c>
      <c r="B50" s="6" t="s">
        <v>238</v>
      </c>
      <c r="C50" s="7" t="s">
        <v>244</v>
      </c>
      <c r="D50" s="8" t="s">
        <v>245</v>
      </c>
      <c r="E50" s="9" t="s">
        <v>246</v>
      </c>
      <c r="F50" s="10" t="s">
        <v>247</v>
      </c>
      <c r="G50" s="9" t="s">
        <v>248</v>
      </c>
      <c r="H50" s="11" t="s">
        <v>249</v>
      </c>
    </row>
    <row r="51" customFormat="false" ht="25.5" hidden="false" customHeight="true" outlineLevel="0" collapsed="false">
      <c r="A51" s="5" t="s">
        <v>11</v>
      </c>
      <c r="B51" s="6" t="s">
        <v>238</v>
      </c>
      <c r="C51" s="7" t="s">
        <v>250</v>
      </c>
      <c r="D51" s="8" t="s">
        <v>251</v>
      </c>
      <c r="E51" s="9" t="s">
        <v>252</v>
      </c>
      <c r="F51" s="10" t="s">
        <v>253</v>
      </c>
      <c r="G51" s="9" t="s">
        <v>254</v>
      </c>
      <c r="H51" s="11" t="s">
        <v>255</v>
      </c>
    </row>
    <row r="52" customFormat="false" ht="25.5" hidden="false" customHeight="true" outlineLevel="0" collapsed="false">
      <c r="A52" s="5" t="s">
        <v>11</v>
      </c>
      <c r="B52" s="6" t="s">
        <v>238</v>
      </c>
      <c r="C52" s="7" t="s">
        <v>256</v>
      </c>
      <c r="D52" s="8" t="s">
        <v>257</v>
      </c>
      <c r="E52" s="9" t="s">
        <v>258</v>
      </c>
      <c r="F52" s="10" t="s">
        <v>259</v>
      </c>
      <c r="G52" s="9" t="s">
        <v>260</v>
      </c>
      <c r="H52" s="11" t="s">
        <v>261</v>
      </c>
    </row>
    <row r="53" customFormat="false" ht="25.5" hidden="false" customHeight="true" outlineLevel="0" collapsed="false">
      <c r="A53" s="5" t="s">
        <v>11</v>
      </c>
      <c r="B53" s="6" t="s">
        <v>238</v>
      </c>
      <c r="C53" s="7" t="s">
        <v>262</v>
      </c>
      <c r="D53" s="8" t="s">
        <v>263</v>
      </c>
      <c r="E53" s="9" t="s">
        <v>264</v>
      </c>
      <c r="F53" s="10" t="s">
        <v>265</v>
      </c>
      <c r="G53" s="9" t="s">
        <v>266</v>
      </c>
      <c r="H53" s="11" t="s">
        <v>267</v>
      </c>
    </row>
    <row r="54" customFormat="false" ht="19.5" hidden="false" customHeight="true" outlineLevel="0" collapsed="false">
      <c r="A54" s="4" t="s">
        <v>268</v>
      </c>
      <c r="B54" s="4"/>
      <c r="C54" s="4"/>
      <c r="D54" s="4"/>
      <c r="E54" s="4"/>
      <c r="F54" s="4"/>
      <c r="G54" s="4"/>
      <c r="H54" s="4"/>
    </row>
    <row r="55" customFormat="false" ht="25.5" hidden="false" customHeight="true" outlineLevel="0" collapsed="false">
      <c r="A55" s="5" t="s">
        <v>11</v>
      </c>
      <c r="B55" s="6" t="s">
        <v>269</v>
      </c>
      <c r="C55" s="7" t="s">
        <v>270</v>
      </c>
      <c r="D55" s="8" t="s">
        <v>271</v>
      </c>
      <c r="E55" s="9" t="s">
        <v>272</v>
      </c>
      <c r="F55" s="12" t="s">
        <v>273</v>
      </c>
      <c r="G55" s="9" t="s">
        <v>274</v>
      </c>
      <c r="H55" s="11" t="s">
        <v>275</v>
      </c>
    </row>
    <row r="56" customFormat="false" ht="25.5" hidden="false" customHeight="true" outlineLevel="0" collapsed="false">
      <c r="A56" s="5" t="s">
        <v>11</v>
      </c>
      <c r="B56" s="6" t="s">
        <v>269</v>
      </c>
      <c r="C56" s="7" t="s">
        <v>276</v>
      </c>
      <c r="D56" s="8" t="s">
        <v>277</v>
      </c>
      <c r="E56" s="9" t="s">
        <v>278</v>
      </c>
      <c r="F56" s="12" t="s">
        <v>127</v>
      </c>
      <c r="G56" s="9" t="s">
        <v>279</v>
      </c>
      <c r="H56" s="11" t="s">
        <v>280</v>
      </c>
    </row>
    <row r="57" customFormat="false" ht="25.5" hidden="false" customHeight="true" outlineLevel="0" collapsed="false">
      <c r="A57" s="5" t="s">
        <v>11</v>
      </c>
      <c r="B57" s="6" t="s">
        <v>269</v>
      </c>
      <c r="C57" s="7" t="s">
        <v>281</v>
      </c>
      <c r="D57" s="8" t="s">
        <v>282</v>
      </c>
      <c r="E57" s="9" t="s">
        <v>283</v>
      </c>
      <c r="F57" s="12" t="s">
        <v>284</v>
      </c>
      <c r="G57" s="9" t="s">
        <v>285</v>
      </c>
      <c r="H57" s="11" t="s">
        <v>286</v>
      </c>
    </row>
    <row r="58" customFormat="false" ht="25.5" hidden="false" customHeight="true" outlineLevel="0" collapsed="false">
      <c r="A58" s="5" t="s">
        <v>11</v>
      </c>
      <c r="B58" s="6" t="s">
        <v>269</v>
      </c>
      <c r="C58" s="7" t="s">
        <v>287</v>
      </c>
      <c r="D58" s="8" t="s">
        <v>288</v>
      </c>
      <c r="E58" s="9" t="s">
        <v>289</v>
      </c>
      <c r="F58" s="10" t="s">
        <v>290</v>
      </c>
      <c r="G58" s="9" t="s">
        <v>291</v>
      </c>
      <c r="H58" s="11" t="s">
        <v>292</v>
      </c>
    </row>
    <row r="59" customFormat="false" ht="19.5" hidden="false" customHeight="true" outlineLevel="0" collapsed="false">
      <c r="A59" s="4" t="s">
        <v>293</v>
      </c>
      <c r="B59" s="4"/>
      <c r="C59" s="4"/>
      <c r="D59" s="4"/>
      <c r="E59" s="4"/>
      <c r="F59" s="4"/>
      <c r="G59" s="4"/>
      <c r="H59" s="4"/>
    </row>
    <row r="60" customFormat="false" ht="25.5" hidden="false" customHeight="true" outlineLevel="0" collapsed="false">
      <c r="A60" s="5" t="s">
        <v>11</v>
      </c>
      <c r="B60" s="6" t="s">
        <v>294</v>
      </c>
      <c r="C60" s="7" t="s">
        <v>295</v>
      </c>
      <c r="D60" s="8" t="s">
        <v>296</v>
      </c>
      <c r="E60" s="9" t="s">
        <v>297</v>
      </c>
      <c r="F60" s="10" t="s">
        <v>95</v>
      </c>
      <c r="G60" s="9" t="s">
        <v>298</v>
      </c>
      <c r="H60" s="11" t="s">
        <v>299</v>
      </c>
    </row>
    <row r="61" customFormat="false" ht="25.5" hidden="false" customHeight="true" outlineLevel="0" collapsed="false">
      <c r="A61" s="5" t="s">
        <v>11</v>
      </c>
      <c r="B61" s="6" t="s">
        <v>294</v>
      </c>
      <c r="C61" s="7" t="s">
        <v>300</v>
      </c>
      <c r="D61" s="8" t="s">
        <v>301</v>
      </c>
      <c r="E61" s="9" t="s">
        <v>302</v>
      </c>
      <c r="F61" s="10" t="s">
        <v>303</v>
      </c>
      <c r="G61" s="9" t="s">
        <v>304</v>
      </c>
      <c r="H61" s="11" t="s">
        <v>305</v>
      </c>
    </row>
    <row r="62" customFormat="false" ht="25.5" hidden="false" customHeight="true" outlineLevel="0" collapsed="false">
      <c r="A62" s="5" t="s">
        <v>11</v>
      </c>
      <c r="B62" s="6" t="s">
        <v>294</v>
      </c>
      <c r="C62" s="7" t="s">
        <v>306</v>
      </c>
      <c r="D62" s="8" t="s">
        <v>307</v>
      </c>
      <c r="E62" s="9" t="s">
        <v>308</v>
      </c>
      <c r="F62" s="12" t="s">
        <v>22</v>
      </c>
      <c r="G62" s="9" t="s">
        <v>309</v>
      </c>
      <c r="H62" s="11" t="s">
        <v>310</v>
      </c>
    </row>
    <row r="63" customFormat="false" ht="25.5" hidden="false" customHeight="true" outlineLevel="0" collapsed="false">
      <c r="A63" s="5" t="s">
        <v>11</v>
      </c>
      <c r="B63" s="6" t="s">
        <v>294</v>
      </c>
      <c r="C63" s="7" t="s">
        <v>311</v>
      </c>
      <c r="D63" s="8" t="s">
        <v>312</v>
      </c>
      <c r="E63" s="9" t="s">
        <v>313</v>
      </c>
      <c r="F63" s="10" t="s">
        <v>290</v>
      </c>
      <c r="G63" s="15" t="s">
        <v>314</v>
      </c>
      <c r="H63" s="11" t="s">
        <v>315</v>
      </c>
    </row>
    <row r="64" customFormat="false" ht="19.5" hidden="false" customHeight="true" outlineLevel="0" collapsed="false">
      <c r="A64" s="4" t="s">
        <v>316</v>
      </c>
      <c r="B64" s="4"/>
      <c r="C64" s="4"/>
      <c r="D64" s="4"/>
      <c r="E64" s="4"/>
      <c r="F64" s="4"/>
      <c r="G64" s="4"/>
      <c r="H64" s="4"/>
    </row>
    <row r="65" customFormat="false" ht="25.5" hidden="false" customHeight="true" outlineLevel="0" collapsed="false">
      <c r="A65" s="5" t="s">
        <v>11</v>
      </c>
      <c r="B65" s="6" t="s">
        <v>317</v>
      </c>
      <c r="C65" s="13" t="s">
        <v>318</v>
      </c>
      <c r="D65" s="8" t="s">
        <v>319</v>
      </c>
      <c r="E65" s="9" t="s">
        <v>320</v>
      </c>
      <c r="F65" s="10" t="s">
        <v>321</v>
      </c>
      <c r="G65" s="9" t="s">
        <v>322</v>
      </c>
      <c r="H65" s="11" t="s">
        <v>323</v>
      </c>
    </row>
    <row r="66" customFormat="false" ht="25.5" hidden="false" customHeight="true" outlineLevel="0" collapsed="false">
      <c r="A66" s="5" t="s">
        <v>11</v>
      </c>
      <c r="B66" s="6" t="s">
        <v>317</v>
      </c>
      <c r="C66" s="7" t="s">
        <v>324</v>
      </c>
      <c r="D66" s="8" t="s">
        <v>325</v>
      </c>
      <c r="E66" s="9" t="s">
        <v>326</v>
      </c>
      <c r="F66" s="10" t="s">
        <v>327</v>
      </c>
      <c r="G66" s="15" t="s">
        <v>22</v>
      </c>
      <c r="H66" s="11" t="s">
        <v>328</v>
      </c>
    </row>
    <row r="67" customFormat="false" ht="25.5" hidden="false" customHeight="true" outlineLevel="0" collapsed="false">
      <c r="A67" s="5" t="s">
        <v>11</v>
      </c>
      <c r="B67" s="6" t="s">
        <v>317</v>
      </c>
      <c r="C67" s="7" t="s">
        <v>327</v>
      </c>
      <c r="D67" s="8" t="s">
        <v>329</v>
      </c>
      <c r="E67" s="9" t="s">
        <v>330</v>
      </c>
      <c r="F67" s="10" t="s">
        <v>327</v>
      </c>
      <c r="G67" s="9" t="s">
        <v>331</v>
      </c>
      <c r="H67" s="11" t="s">
        <v>332</v>
      </c>
    </row>
    <row r="68" customFormat="false" ht="19.5" hidden="false" customHeight="true" outlineLevel="0" collapsed="false">
      <c r="A68" s="4" t="s">
        <v>333</v>
      </c>
      <c r="B68" s="4"/>
      <c r="C68" s="4"/>
      <c r="D68" s="4"/>
      <c r="E68" s="4"/>
      <c r="F68" s="4"/>
      <c r="G68" s="4"/>
      <c r="H68" s="4"/>
    </row>
    <row r="69" customFormat="false" ht="25.5" hidden="false" customHeight="true" outlineLevel="0" collapsed="false">
      <c r="A69" s="5" t="s">
        <v>11</v>
      </c>
      <c r="B69" s="6" t="s">
        <v>334</v>
      </c>
      <c r="C69" s="7" t="s">
        <v>335</v>
      </c>
      <c r="D69" s="8" t="s">
        <v>336</v>
      </c>
      <c r="E69" s="15" t="s">
        <v>22</v>
      </c>
      <c r="F69" s="12" t="s">
        <v>22</v>
      </c>
      <c r="G69" s="15" t="s">
        <v>22</v>
      </c>
      <c r="H69" s="16" t="s">
        <v>22</v>
      </c>
    </row>
    <row r="70" customFormat="false" ht="25.5" hidden="false" customHeight="true" outlineLevel="0" collapsed="false">
      <c r="A70" s="5" t="s">
        <v>11</v>
      </c>
      <c r="B70" s="6" t="s">
        <v>334</v>
      </c>
      <c r="C70" s="7" t="s">
        <v>337</v>
      </c>
      <c r="D70" s="8" t="s">
        <v>338</v>
      </c>
      <c r="E70" s="15" t="s">
        <v>22</v>
      </c>
      <c r="F70" s="12" t="s">
        <v>22</v>
      </c>
      <c r="G70" s="15" t="s">
        <v>22</v>
      </c>
      <c r="H70" s="16" t="s">
        <v>22</v>
      </c>
    </row>
    <row r="71" customFormat="false" ht="25.5" hidden="false" customHeight="true" outlineLevel="0" collapsed="false">
      <c r="A71" s="5" t="s">
        <v>11</v>
      </c>
      <c r="B71" s="6" t="s">
        <v>334</v>
      </c>
      <c r="C71" s="7" t="s">
        <v>339</v>
      </c>
      <c r="D71" s="8" t="s">
        <v>340</v>
      </c>
      <c r="E71" s="15" t="s">
        <v>22</v>
      </c>
      <c r="F71" s="12" t="s">
        <v>22</v>
      </c>
      <c r="G71" s="15" t="s">
        <v>22</v>
      </c>
      <c r="H71" s="16" t="s">
        <v>22</v>
      </c>
    </row>
    <row r="72" customFormat="false" ht="25.5" hidden="false" customHeight="true" outlineLevel="0" collapsed="false">
      <c r="A72" s="5" t="s">
        <v>11</v>
      </c>
      <c r="B72" s="6" t="s">
        <v>334</v>
      </c>
      <c r="C72" s="7" t="s">
        <v>341</v>
      </c>
      <c r="D72" s="8" t="s">
        <v>342</v>
      </c>
      <c r="E72" s="15" t="s">
        <v>22</v>
      </c>
      <c r="F72" s="12" t="s">
        <v>22</v>
      </c>
      <c r="G72" s="15" t="s">
        <v>22</v>
      </c>
      <c r="H72" s="16" t="s">
        <v>22</v>
      </c>
    </row>
    <row r="73" customFormat="false" ht="25.5" hidden="false" customHeight="true" outlineLevel="0" collapsed="false">
      <c r="A73" s="5" t="s">
        <v>11</v>
      </c>
      <c r="B73" s="6" t="s">
        <v>334</v>
      </c>
      <c r="C73" s="7" t="s">
        <v>343</v>
      </c>
      <c r="D73" s="8" t="s">
        <v>344</v>
      </c>
      <c r="E73" s="15" t="s">
        <v>22</v>
      </c>
      <c r="F73" s="12" t="s">
        <v>22</v>
      </c>
      <c r="G73" s="15" t="s">
        <v>22</v>
      </c>
      <c r="H73" s="16" t="s">
        <v>22</v>
      </c>
    </row>
    <row r="74" customFormat="false" ht="19.5" hidden="false" customHeight="true" outlineLevel="0" collapsed="false">
      <c r="A74" s="17" t="s">
        <v>345</v>
      </c>
      <c r="B74" s="17"/>
      <c r="C74" s="17"/>
      <c r="D74" s="17"/>
      <c r="E74" s="17"/>
      <c r="F74" s="17"/>
      <c r="G74" s="17"/>
      <c r="H74" s="17"/>
    </row>
    <row r="75" customFormat="false" ht="25.5" hidden="false" customHeight="true" outlineLevel="0" collapsed="false">
      <c r="A75" s="18" t="s">
        <v>346</v>
      </c>
      <c r="B75" s="6" t="s">
        <v>12</v>
      </c>
      <c r="C75" s="7" t="s">
        <v>13</v>
      </c>
      <c r="D75" s="8" t="s">
        <v>347</v>
      </c>
      <c r="E75" s="9" t="s">
        <v>348</v>
      </c>
      <c r="F75" s="10" t="s">
        <v>349</v>
      </c>
      <c r="G75" s="9" t="s">
        <v>350</v>
      </c>
      <c r="H75" s="11" t="s">
        <v>351</v>
      </c>
    </row>
    <row r="76" customFormat="false" ht="25.5" hidden="false" customHeight="true" outlineLevel="0" collapsed="false">
      <c r="A76" s="18" t="s">
        <v>346</v>
      </c>
      <c r="B76" s="6" t="s">
        <v>12</v>
      </c>
      <c r="C76" s="7" t="s">
        <v>19</v>
      </c>
      <c r="D76" s="8" t="s">
        <v>352</v>
      </c>
      <c r="E76" s="9" t="s">
        <v>353</v>
      </c>
      <c r="F76" s="12" t="s">
        <v>22</v>
      </c>
      <c r="G76" s="9" t="s">
        <v>354</v>
      </c>
      <c r="H76" s="11" t="s">
        <v>355</v>
      </c>
    </row>
    <row r="77" customFormat="false" ht="25.5" hidden="false" customHeight="true" outlineLevel="0" collapsed="false">
      <c r="A77" s="18" t="s">
        <v>346</v>
      </c>
      <c r="B77" s="6" t="s">
        <v>12</v>
      </c>
      <c r="C77" s="7" t="s">
        <v>25</v>
      </c>
      <c r="D77" s="8" t="s">
        <v>356</v>
      </c>
      <c r="E77" s="9" t="s">
        <v>357</v>
      </c>
      <c r="F77" s="10" t="s">
        <v>358</v>
      </c>
      <c r="G77" s="9" t="s">
        <v>359</v>
      </c>
      <c r="H77" s="11" t="s">
        <v>360</v>
      </c>
    </row>
    <row r="78" customFormat="false" ht="25.5" hidden="false" customHeight="true" outlineLevel="0" collapsed="false">
      <c r="A78" s="18" t="s">
        <v>346</v>
      </c>
      <c r="B78" s="6" t="s">
        <v>12</v>
      </c>
      <c r="C78" s="13" t="s">
        <v>30</v>
      </c>
      <c r="D78" s="14" t="s">
        <v>361</v>
      </c>
      <c r="E78" s="15" t="s">
        <v>362</v>
      </c>
      <c r="F78" s="12" t="s">
        <v>22</v>
      </c>
      <c r="G78" s="15" t="s">
        <v>22</v>
      </c>
      <c r="H78" s="11" t="s">
        <v>363</v>
      </c>
    </row>
    <row r="79" customFormat="false" ht="25.5" hidden="false" customHeight="true" outlineLevel="0" collapsed="false">
      <c r="A79" s="18" t="s">
        <v>346</v>
      </c>
      <c r="B79" s="6" t="s">
        <v>12</v>
      </c>
      <c r="C79" s="7" t="s">
        <v>364</v>
      </c>
      <c r="D79" s="14" t="s">
        <v>365</v>
      </c>
      <c r="E79" s="9" t="s">
        <v>366</v>
      </c>
      <c r="F79" s="10" t="s">
        <v>367</v>
      </c>
      <c r="G79" s="9" t="s">
        <v>368</v>
      </c>
      <c r="H79" s="11" t="s">
        <v>369</v>
      </c>
    </row>
    <row r="80" customFormat="false" ht="19.5" hidden="false" customHeight="true" outlineLevel="0" collapsed="false">
      <c r="A80" s="17" t="s">
        <v>370</v>
      </c>
      <c r="B80" s="17"/>
      <c r="C80" s="17"/>
      <c r="D80" s="17"/>
      <c r="E80" s="17"/>
      <c r="F80" s="17"/>
      <c r="G80" s="17"/>
      <c r="H80" s="17"/>
    </row>
    <row r="81" customFormat="false" ht="25.5" hidden="false" customHeight="true" outlineLevel="0" collapsed="false">
      <c r="A81" s="18" t="s">
        <v>346</v>
      </c>
      <c r="B81" s="6" t="s">
        <v>371</v>
      </c>
      <c r="C81" s="7" t="s">
        <v>372</v>
      </c>
      <c r="D81" s="8" t="s">
        <v>373</v>
      </c>
      <c r="E81" s="9" t="s">
        <v>374</v>
      </c>
      <c r="F81" s="10" t="s">
        <v>375</v>
      </c>
      <c r="G81" s="9" t="s">
        <v>376</v>
      </c>
      <c r="H81" s="11" t="s">
        <v>377</v>
      </c>
    </row>
    <row r="82" customFormat="false" ht="25.5" hidden="false" customHeight="true" outlineLevel="0" collapsed="false">
      <c r="A82" s="18" t="s">
        <v>346</v>
      </c>
      <c r="B82" s="6" t="s">
        <v>371</v>
      </c>
      <c r="C82" s="7" t="s">
        <v>378</v>
      </c>
      <c r="D82" s="8" t="s">
        <v>379</v>
      </c>
      <c r="E82" s="9" t="s">
        <v>380</v>
      </c>
      <c r="F82" s="10" t="s">
        <v>381</v>
      </c>
      <c r="G82" s="9" t="s">
        <v>382</v>
      </c>
      <c r="H82" s="11" t="s">
        <v>383</v>
      </c>
    </row>
    <row r="83" customFormat="false" ht="25.5" hidden="false" customHeight="true" outlineLevel="0" collapsed="false">
      <c r="A83" s="18" t="s">
        <v>346</v>
      </c>
      <c r="B83" s="6" t="s">
        <v>371</v>
      </c>
      <c r="C83" s="7" t="s">
        <v>384</v>
      </c>
      <c r="D83" s="8" t="s">
        <v>385</v>
      </c>
      <c r="E83" s="9" t="s">
        <v>386</v>
      </c>
      <c r="F83" s="10" t="s">
        <v>387</v>
      </c>
      <c r="G83" s="9" t="s">
        <v>388</v>
      </c>
      <c r="H83" s="11" t="s">
        <v>389</v>
      </c>
    </row>
    <row r="84" customFormat="false" ht="25.5" hidden="false" customHeight="true" outlineLevel="0" collapsed="false">
      <c r="A84" s="18" t="s">
        <v>346</v>
      </c>
      <c r="B84" s="6" t="s">
        <v>371</v>
      </c>
      <c r="C84" s="7" t="s">
        <v>390</v>
      </c>
      <c r="D84" s="8" t="s">
        <v>391</v>
      </c>
      <c r="E84" s="9" t="s">
        <v>392</v>
      </c>
      <c r="F84" s="10" t="s">
        <v>393</v>
      </c>
      <c r="G84" s="9" t="s">
        <v>394</v>
      </c>
      <c r="H84" s="11" t="s">
        <v>395</v>
      </c>
    </row>
    <row r="85" customFormat="false" ht="19.5" hidden="false" customHeight="true" outlineLevel="0" collapsed="false">
      <c r="A85" s="17" t="s">
        <v>396</v>
      </c>
      <c r="B85" s="17"/>
      <c r="C85" s="17"/>
      <c r="D85" s="17"/>
      <c r="E85" s="17"/>
      <c r="F85" s="17"/>
      <c r="G85" s="17"/>
      <c r="H85" s="17"/>
    </row>
    <row r="86" customFormat="false" ht="25.5" hidden="false" customHeight="true" outlineLevel="0" collapsed="false">
      <c r="A86" s="18" t="s">
        <v>346</v>
      </c>
      <c r="B86" s="6" t="s">
        <v>397</v>
      </c>
      <c r="C86" s="7" t="s">
        <v>398</v>
      </c>
      <c r="D86" s="8" t="s">
        <v>399</v>
      </c>
      <c r="E86" s="9" t="s">
        <v>400</v>
      </c>
      <c r="F86" s="10" t="s">
        <v>401</v>
      </c>
      <c r="G86" s="9" t="s">
        <v>402</v>
      </c>
      <c r="H86" s="11" t="s">
        <v>403</v>
      </c>
    </row>
    <row r="87" customFormat="false" ht="25.5" hidden="false" customHeight="true" outlineLevel="0" collapsed="false">
      <c r="A87" s="18" t="s">
        <v>346</v>
      </c>
      <c r="B87" s="6" t="s">
        <v>397</v>
      </c>
      <c r="C87" s="7" t="s">
        <v>404</v>
      </c>
      <c r="D87" s="8" t="s">
        <v>405</v>
      </c>
      <c r="E87" s="9" t="s">
        <v>406</v>
      </c>
      <c r="F87" s="10" t="s">
        <v>407</v>
      </c>
      <c r="G87" s="9" t="s">
        <v>408</v>
      </c>
      <c r="H87" s="11" t="s">
        <v>409</v>
      </c>
    </row>
    <row r="88" customFormat="false" ht="25.5" hidden="false" customHeight="true" outlineLevel="0" collapsed="false">
      <c r="A88" s="18" t="s">
        <v>346</v>
      </c>
      <c r="B88" s="6" t="s">
        <v>397</v>
      </c>
      <c r="C88" s="7" t="s">
        <v>410</v>
      </c>
      <c r="D88" s="8" t="s">
        <v>411</v>
      </c>
      <c r="E88" s="9" t="s">
        <v>412</v>
      </c>
      <c r="F88" s="10" t="s">
        <v>413</v>
      </c>
      <c r="G88" s="9" t="s">
        <v>414</v>
      </c>
      <c r="H88" s="11" t="s">
        <v>415</v>
      </c>
    </row>
    <row r="89" customFormat="false" ht="25.5" hidden="false" customHeight="true" outlineLevel="0" collapsed="false">
      <c r="A89" s="18" t="s">
        <v>346</v>
      </c>
      <c r="B89" s="6" t="s">
        <v>397</v>
      </c>
      <c r="C89" s="7" t="s">
        <v>416</v>
      </c>
      <c r="D89" s="8" t="s">
        <v>417</v>
      </c>
      <c r="E89" s="9" t="s">
        <v>418</v>
      </c>
      <c r="F89" s="10" t="s">
        <v>419</v>
      </c>
      <c r="G89" s="9" t="s">
        <v>420</v>
      </c>
      <c r="H89" s="11" t="s">
        <v>421</v>
      </c>
    </row>
    <row r="90" customFormat="false" ht="25.5" hidden="false" customHeight="true" outlineLevel="0" collapsed="false">
      <c r="A90" s="18" t="s">
        <v>346</v>
      </c>
      <c r="B90" s="6" t="s">
        <v>397</v>
      </c>
      <c r="C90" s="7" t="s">
        <v>422</v>
      </c>
      <c r="D90" s="8" t="s">
        <v>423</v>
      </c>
      <c r="E90" s="9" t="s">
        <v>424</v>
      </c>
      <c r="F90" s="10" t="s">
        <v>425</v>
      </c>
      <c r="G90" s="9" t="s">
        <v>426</v>
      </c>
      <c r="H90" s="11" t="s">
        <v>427</v>
      </c>
    </row>
    <row r="91" customFormat="false" ht="19.5" hidden="false" customHeight="true" outlineLevel="0" collapsed="false">
      <c r="A91" s="17" t="s">
        <v>428</v>
      </c>
      <c r="B91" s="17"/>
      <c r="C91" s="17"/>
      <c r="D91" s="17"/>
      <c r="E91" s="17"/>
      <c r="F91" s="17"/>
      <c r="G91" s="17"/>
      <c r="H91" s="17"/>
    </row>
    <row r="92" customFormat="false" ht="25.5" hidden="false" customHeight="true" outlineLevel="0" collapsed="false">
      <c r="A92" s="18" t="s">
        <v>346</v>
      </c>
      <c r="B92" s="6" t="s">
        <v>429</v>
      </c>
      <c r="C92" s="7" t="s">
        <v>430</v>
      </c>
      <c r="D92" s="8" t="s">
        <v>431</v>
      </c>
      <c r="E92" s="9" t="s">
        <v>432</v>
      </c>
      <c r="F92" s="10" t="s">
        <v>433</v>
      </c>
      <c r="G92" s="9" t="s">
        <v>434</v>
      </c>
      <c r="H92" s="11" t="s">
        <v>435</v>
      </c>
    </row>
    <row r="93" customFormat="false" ht="25.5" hidden="false" customHeight="true" outlineLevel="0" collapsed="false">
      <c r="A93" s="18" t="s">
        <v>346</v>
      </c>
      <c r="B93" s="6" t="s">
        <v>429</v>
      </c>
      <c r="C93" s="7" t="s">
        <v>436</v>
      </c>
      <c r="D93" s="8" t="s">
        <v>437</v>
      </c>
      <c r="E93" s="9" t="s">
        <v>438</v>
      </c>
      <c r="F93" s="10" t="s">
        <v>439</v>
      </c>
      <c r="G93" s="9" t="s">
        <v>440</v>
      </c>
      <c r="H93" s="11" t="s">
        <v>441</v>
      </c>
    </row>
    <row r="94" customFormat="false" ht="25.5" hidden="false" customHeight="true" outlineLevel="0" collapsed="false">
      <c r="A94" s="18" t="s">
        <v>346</v>
      </c>
      <c r="B94" s="6" t="s">
        <v>429</v>
      </c>
      <c r="C94" s="13" t="s">
        <v>442</v>
      </c>
      <c r="D94" s="14" t="s">
        <v>443</v>
      </c>
      <c r="E94" s="9" t="s">
        <v>444</v>
      </c>
      <c r="F94" s="10" t="s">
        <v>445</v>
      </c>
      <c r="G94" s="15" t="s">
        <v>446</v>
      </c>
      <c r="H94" s="11" t="s">
        <v>447</v>
      </c>
    </row>
    <row r="95" customFormat="false" ht="25.5" hidden="false" customHeight="true" outlineLevel="0" collapsed="false">
      <c r="A95" s="18" t="s">
        <v>346</v>
      </c>
      <c r="B95" s="6" t="s">
        <v>429</v>
      </c>
      <c r="C95" s="7" t="s">
        <v>448</v>
      </c>
      <c r="D95" s="8" t="s">
        <v>449</v>
      </c>
      <c r="E95" s="9" t="s">
        <v>450</v>
      </c>
      <c r="F95" s="10" t="s">
        <v>451</v>
      </c>
      <c r="G95" s="9" t="s">
        <v>452</v>
      </c>
      <c r="H95" s="11" t="s">
        <v>453</v>
      </c>
    </row>
    <row r="96" customFormat="false" ht="19.5" hidden="false" customHeight="true" outlineLevel="0" collapsed="false">
      <c r="A96" s="17" t="s">
        <v>454</v>
      </c>
      <c r="B96" s="17"/>
      <c r="C96" s="17"/>
      <c r="D96" s="17"/>
      <c r="E96" s="17"/>
      <c r="F96" s="17"/>
      <c r="G96" s="17"/>
      <c r="H96" s="17"/>
    </row>
    <row r="97" customFormat="false" ht="25.5" hidden="false" customHeight="true" outlineLevel="0" collapsed="false">
      <c r="A97" s="18" t="s">
        <v>346</v>
      </c>
      <c r="B97" s="6" t="s">
        <v>455</v>
      </c>
      <c r="C97" s="7" t="s">
        <v>456</v>
      </c>
      <c r="D97" s="8" t="s">
        <v>457</v>
      </c>
      <c r="E97" s="9" t="s">
        <v>458</v>
      </c>
      <c r="F97" s="10" t="s">
        <v>95</v>
      </c>
      <c r="G97" s="9" t="s">
        <v>459</v>
      </c>
      <c r="H97" s="11" t="s">
        <v>460</v>
      </c>
    </row>
    <row r="98" customFormat="false" ht="25.5" hidden="false" customHeight="true" outlineLevel="0" collapsed="false">
      <c r="A98" s="18" t="s">
        <v>346</v>
      </c>
      <c r="B98" s="6" t="s">
        <v>455</v>
      </c>
      <c r="C98" s="7" t="s">
        <v>461</v>
      </c>
      <c r="D98" s="8" t="s">
        <v>462</v>
      </c>
      <c r="E98" s="9" t="s">
        <v>463</v>
      </c>
      <c r="F98" s="12" t="s">
        <v>464</v>
      </c>
      <c r="G98" s="9" t="s">
        <v>465</v>
      </c>
      <c r="H98" s="11" t="s">
        <v>466</v>
      </c>
    </row>
    <row r="99" customFormat="false" ht="25.5" hidden="false" customHeight="true" outlineLevel="0" collapsed="false">
      <c r="A99" s="18" t="s">
        <v>346</v>
      </c>
      <c r="B99" s="6" t="s">
        <v>455</v>
      </c>
      <c r="C99" s="7" t="s">
        <v>467</v>
      </c>
      <c r="D99" s="8" t="s">
        <v>468</v>
      </c>
      <c r="E99" s="9" t="s">
        <v>469</v>
      </c>
      <c r="F99" s="10" t="s">
        <v>470</v>
      </c>
      <c r="G99" s="9" t="s">
        <v>471</v>
      </c>
      <c r="H99" s="11" t="s">
        <v>472</v>
      </c>
    </row>
    <row r="100" customFormat="false" ht="25.5" hidden="false" customHeight="true" outlineLevel="0" collapsed="false">
      <c r="A100" s="18" t="s">
        <v>346</v>
      </c>
      <c r="B100" s="6" t="s">
        <v>455</v>
      </c>
      <c r="C100" s="7" t="s">
        <v>473</v>
      </c>
      <c r="D100" s="8" t="s">
        <v>474</v>
      </c>
      <c r="E100" s="9" t="s">
        <v>475</v>
      </c>
      <c r="F100" s="10" t="s">
        <v>476</v>
      </c>
      <c r="G100" s="9" t="s">
        <v>477</v>
      </c>
      <c r="H100" s="11" t="s">
        <v>478</v>
      </c>
    </row>
    <row r="101" customFormat="false" ht="19.5" hidden="false" customHeight="true" outlineLevel="0" collapsed="false">
      <c r="A101" s="17" t="s">
        <v>479</v>
      </c>
      <c r="B101" s="17"/>
      <c r="C101" s="17"/>
      <c r="D101" s="17"/>
      <c r="E101" s="17"/>
      <c r="F101" s="17"/>
      <c r="G101" s="17"/>
      <c r="H101" s="17"/>
    </row>
    <row r="102" customFormat="false" ht="25.5" hidden="false" customHeight="true" outlineLevel="0" collapsed="false">
      <c r="A102" s="18" t="s">
        <v>346</v>
      </c>
      <c r="B102" s="6" t="s">
        <v>480</v>
      </c>
      <c r="C102" s="7" t="s">
        <v>481</v>
      </c>
      <c r="D102" s="8" t="s">
        <v>482</v>
      </c>
      <c r="E102" s="9" t="s">
        <v>483</v>
      </c>
      <c r="F102" s="10" t="s">
        <v>227</v>
      </c>
      <c r="G102" s="9" t="s">
        <v>484</v>
      </c>
      <c r="H102" s="11" t="s">
        <v>485</v>
      </c>
    </row>
    <row r="103" customFormat="false" ht="25.5" hidden="false" customHeight="true" outlineLevel="0" collapsed="false">
      <c r="A103" s="18" t="s">
        <v>346</v>
      </c>
      <c r="B103" s="6" t="s">
        <v>480</v>
      </c>
      <c r="C103" s="7" t="s">
        <v>486</v>
      </c>
      <c r="D103" s="8" t="s">
        <v>487</v>
      </c>
      <c r="E103" s="9" t="s">
        <v>488</v>
      </c>
      <c r="F103" s="12" t="s">
        <v>127</v>
      </c>
      <c r="G103" s="9" t="s">
        <v>489</v>
      </c>
      <c r="H103" s="11" t="s">
        <v>490</v>
      </c>
    </row>
    <row r="104" customFormat="false" ht="25.5" hidden="false" customHeight="true" outlineLevel="0" collapsed="false">
      <c r="A104" s="18" t="s">
        <v>346</v>
      </c>
      <c r="B104" s="6" t="s">
        <v>480</v>
      </c>
      <c r="C104" s="7" t="s">
        <v>491</v>
      </c>
      <c r="D104" s="8" t="s">
        <v>492</v>
      </c>
      <c r="E104" s="9" t="s">
        <v>493</v>
      </c>
      <c r="F104" s="10" t="s">
        <v>494</v>
      </c>
      <c r="G104" s="9" t="s">
        <v>495</v>
      </c>
      <c r="H104" s="11" t="s">
        <v>496</v>
      </c>
    </row>
    <row r="105" customFormat="false" ht="25.5" hidden="false" customHeight="true" outlineLevel="0" collapsed="false">
      <c r="A105" s="18" t="s">
        <v>346</v>
      </c>
      <c r="B105" s="6" t="s">
        <v>480</v>
      </c>
      <c r="C105" s="7" t="s">
        <v>497</v>
      </c>
      <c r="D105" s="8" t="s">
        <v>498</v>
      </c>
      <c r="E105" s="9" t="s">
        <v>499</v>
      </c>
      <c r="F105" s="10" t="s">
        <v>500</v>
      </c>
      <c r="G105" s="9" t="s">
        <v>501</v>
      </c>
      <c r="H105" s="11" t="s">
        <v>502</v>
      </c>
    </row>
    <row r="106" customFormat="false" ht="19.5" hidden="false" customHeight="true" outlineLevel="0" collapsed="false">
      <c r="A106" s="17" t="s">
        <v>503</v>
      </c>
      <c r="B106" s="17"/>
      <c r="C106" s="17"/>
      <c r="D106" s="17"/>
      <c r="E106" s="17"/>
      <c r="F106" s="17"/>
      <c r="G106" s="17"/>
      <c r="H106" s="17"/>
    </row>
    <row r="107" customFormat="false" ht="25.5" hidden="false" customHeight="true" outlineLevel="0" collapsed="false">
      <c r="A107" s="18" t="s">
        <v>346</v>
      </c>
      <c r="B107" s="6" t="s">
        <v>504</v>
      </c>
      <c r="C107" s="7" t="s">
        <v>505</v>
      </c>
      <c r="D107" s="14" t="s">
        <v>506</v>
      </c>
      <c r="E107" s="9" t="s">
        <v>507</v>
      </c>
      <c r="F107" s="12" t="s">
        <v>508</v>
      </c>
      <c r="G107" s="9" t="s">
        <v>509</v>
      </c>
      <c r="H107" s="11" t="s">
        <v>510</v>
      </c>
    </row>
    <row r="108" customFormat="false" ht="25.5" hidden="false" customHeight="true" outlineLevel="0" collapsed="false">
      <c r="A108" s="18" t="s">
        <v>346</v>
      </c>
      <c r="B108" s="6" t="s">
        <v>504</v>
      </c>
      <c r="C108" s="7" t="s">
        <v>511</v>
      </c>
      <c r="D108" s="8" t="s">
        <v>512</v>
      </c>
      <c r="E108" s="9" t="s">
        <v>513</v>
      </c>
      <c r="F108" s="12" t="s">
        <v>514</v>
      </c>
      <c r="G108" s="9" t="s">
        <v>515</v>
      </c>
      <c r="H108" s="11" t="s">
        <v>516</v>
      </c>
    </row>
    <row r="109" customFormat="false" ht="25.5" hidden="false" customHeight="true" outlineLevel="0" collapsed="false">
      <c r="A109" s="18" t="s">
        <v>346</v>
      </c>
      <c r="B109" s="6" t="s">
        <v>504</v>
      </c>
      <c r="C109" s="7" t="s">
        <v>517</v>
      </c>
      <c r="D109" s="8" t="s">
        <v>518</v>
      </c>
      <c r="E109" s="9" t="s">
        <v>519</v>
      </c>
      <c r="F109" s="10" t="s">
        <v>520</v>
      </c>
      <c r="G109" s="9" t="s">
        <v>521</v>
      </c>
      <c r="H109" s="11" t="s">
        <v>522</v>
      </c>
    </row>
    <row r="110" customFormat="false" ht="25.5" hidden="false" customHeight="true" outlineLevel="0" collapsed="false">
      <c r="A110" s="18" t="s">
        <v>346</v>
      </c>
      <c r="B110" s="6" t="s">
        <v>504</v>
      </c>
      <c r="C110" s="7" t="s">
        <v>523</v>
      </c>
      <c r="D110" s="8" t="s">
        <v>524</v>
      </c>
      <c r="E110" s="9" t="s">
        <v>525</v>
      </c>
      <c r="F110" s="10" t="s">
        <v>526</v>
      </c>
      <c r="G110" s="9" t="s">
        <v>527</v>
      </c>
      <c r="H110" s="11" t="s">
        <v>528</v>
      </c>
    </row>
    <row r="111" customFormat="false" ht="25.5" hidden="false" customHeight="true" outlineLevel="0" collapsed="false">
      <c r="A111" s="18" t="s">
        <v>346</v>
      </c>
      <c r="B111" s="6" t="s">
        <v>504</v>
      </c>
      <c r="C111" s="7" t="s">
        <v>529</v>
      </c>
      <c r="D111" s="8" t="s">
        <v>530</v>
      </c>
      <c r="E111" s="9" t="s">
        <v>531</v>
      </c>
      <c r="F111" s="10" t="s">
        <v>532</v>
      </c>
      <c r="G111" s="9" t="s">
        <v>533</v>
      </c>
      <c r="H111" s="11" t="s">
        <v>534</v>
      </c>
    </row>
    <row r="112" customFormat="false" ht="19.5" hidden="false" customHeight="true" outlineLevel="0" collapsed="false">
      <c r="A112" s="17" t="s">
        <v>535</v>
      </c>
      <c r="B112" s="17"/>
      <c r="C112" s="17"/>
      <c r="D112" s="17"/>
      <c r="E112" s="17"/>
      <c r="F112" s="17"/>
      <c r="G112" s="17"/>
      <c r="H112" s="17"/>
    </row>
    <row r="113" customFormat="false" ht="25.5" hidden="false" customHeight="true" outlineLevel="0" collapsed="false">
      <c r="A113" s="18" t="s">
        <v>346</v>
      </c>
      <c r="B113" s="6" t="s">
        <v>536</v>
      </c>
      <c r="C113" s="7" t="s">
        <v>537</v>
      </c>
      <c r="D113" s="8" t="s">
        <v>538</v>
      </c>
      <c r="E113" s="9" t="s">
        <v>539</v>
      </c>
      <c r="F113" s="10" t="s">
        <v>540</v>
      </c>
      <c r="G113" s="9" t="s">
        <v>541</v>
      </c>
      <c r="H113" s="11" t="s">
        <v>542</v>
      </c>
    </row>
    <row r="114" customFormat="false" ht="25.5" hidden="false" customHeight="true" outlineLevel="0" collapsed="false">
      <c r="A114" s="18" t="s">
        <v>346</v>
      </c>
      <c r="B114" s="6" t="s">
        <v>536</v>
      </c>
      <c r="C114" s="7" t="s">
        <v>543</v>
      </c>
      <c r="D114" s="8" t="s">
        <v>544</v>
      </c>
      <c r="E114" s="9" t="s">
        <v>545</v>
      </c>
      <c r="F114" s="10" t="s">
        <v>546</v>
      </c>
      <c r="G114" s="9" t="s">
        <v>547</v>
      </c>
      <c r="H114" s="11" t="s">
        <v>548</v>
      </c>
    </row>
    <row r="115" customFormat="false" ht="25.5" hidden="false" customHeight="true" outlineLevel="0" collapsed="false">
      <c r="A115" s="18" t="s">
        <v>346</v>
      </c>
      <c r="B115" s="6" t="s">
        <v>536</v>
      </c>
      <c r="C115" s="7" t="s">
        <v>549</v>
      </c>
      <c r="D115" s="8" t="s">
        <v>550</v>
      </c>
      <c r="E115" s="9" t="s">
        <v>551</v>
      </c>
      <c r="F115" s="10" t="s">
        <v>290</v>
      </c>
      <c r="G115" s="9" t="s">
        <v>552</v>
      </c>
      <c r="H115" s="11" t="s">
        <v>553</v>
      </c>
    </row>
    <row r="116" customFormat="false" ht="25.5" hidden="false" customHeight="true" outlineLevel="0" collapsed="false">
      <c r="A116" s="18" t="s">
        <v>346</v>
      </c>
      <c r="B116" s="6" t="s">
        <v>536</v>
      </c>
      <c r="C116" s="7" t="s">
        <v>554</v>
      </c>
      <c r="D116" s="8" t="s">
        <v>555</v>
      </c>
      <c r="E116" s="9" t="s">
        <v>556</v>
      </c>
      <c r="F116" s="10" t="s">
        <v>557</v>
      </c>
      <c r="G116" s="9" t="s">
        <v>558</v>
      </c>
      <c r="H116" s="11" t="s">
        <v>559</v>
      </c>
    </row>
    <row r="117" customFormat="false" ht="19.5" hidden="false" customHeight="true" outlineLevel="0" collapsed="false">
      <c r="A117" s="17" t="s">
        <v>560</v>
      </c>
      <c r="B117" s="17"/>
      <c r="C117" s="17"/>
      <c r="D117" s="17"/>
      <c r="E117" s="17"/>
      <c r="F117" s="17"/>
      <c r="G117" s="17"/>
      <c r="H117" s="17"/>
    </row>
    <row r="118" customFormat="false" ht="25.5" hidden="false" customHeight="true" outlineLevel="0" collapsed="false">
      <c r="A118" s="18" t="s">
        <v>346</v>
      </c>
      <c r="B118" s="6" t="s">
        <v>561</v>
      </c>
      <c r="C118" s="7" t="s">
        <v>562</v>
      </c>
      <c r="D118" s="8" t="s">
        <v>563</v>
      </c>
      <c r="E118" s="15" t="s">
        <v>564</v>
      </c>
      <c r="F118" s="10" t="s">
        <v>451</v>
      </c>
      <c r="G118" s="9" t="s">
        <v>565</v>
      </c>
      <c r="H118" s="11" t="s">
        <v>566</v>
      </c>
    </row>
    <row r="119" customFormat="false" ht="25.5" hidden="false" customHeight="true" outlineLevel="0" collapsed="false">
      <c r="A119" s="18" t="s">
        <v>346</v>
      </c>
      <c r="B119" s="6" t="s">
        <v>561</v>
      </c>
      <c r="C119" s="7" t="s">
        <v>567</v>
      </c>
      <c r="D119" s="8" t="s">
        <v>568</v>
      </c>
      <c r="E119" s="9" t="s">
        <v>569</v>
      </c>
      <c r="F119" s="10" t="s">
        <v>570</v>
      </c>
      <c r="G119" s="9" t="s">
        <v>501</v>
      </c>
      <c r="H119" s="11" t="s">
        <v>571</v>
      </c>
    </row>
    <row r="120" customFormat="false" ht="25.5" hidden="false" customHeight="true" outlineLevel="0" collapsed="false">
      <c r="A120" s="18" t="s">
        <v>346</v>
      </c>
      <c r="B120" s="6" t="s">
        <v>561</v>
      </c>
      <c r="C120" s="7" t="s">
        <v>572</v>
      </c>
      <c r="D120" s="8" t="s">
        <v>573</v>
      </c>
      <c r="E120" s="9" t="s">
        <v>574</v>
      </c>
      <c r="F120" s="10" t="s">
        <v>451</v>
      </c>
      <c r="G120" s="9" t="s">
        <v>575</v>
      </c>
      <c r="H120" s="11" t="s">
        <v>576</v>
      </c>
    </row>
    <row r="121" customFormat="false" ht="25.5" hidden="false" customHeight="true" outlineLevel="0" collapsed="false">
      <c r="A121" s="18" t="s">
        <v>346</v>
      </c>
      <c r="B121" s="6" t="s">
        <v>561</v>
      </c>
      <c r="C121" s="7" t="s">
        <v>577</v>
      </c>
      <c r="D121" s="8" t="s">
        <v>578</v>
      </c>
      <c r="E121" s="15" t="s">
        <v>579</v>
      </c>
      <c r="F121" s="10" t="s">
        <v>451</v>
      </c>
      <c r="G121" s="9" t="s">
        <v>580</v>
      </c>
      <c r="H121" s="11" t="s">
        <v>581</v>
      </c>
    </row>
    <row r="122" customFormat="false" ht="19.5" hidden="false" customHeight="true" outlineLevel="0" collapsed="false">
      <c r="A122" s="17" t="s">
        <v>582</v>
      </c>
      <c r="B122" s="17"/>
      <c r="C122" s="17"/>
      <c r="D122" s="17"/>
      <c r="E122" s="17"/>
      <c r="F122" s="17"/>
      <c r="G122" s="17"/>
      <c r="H122" s="17"/>
    </row>
    <row r="123" customFormat="false" ht="25.5" hidden="false" customHeight="true" outlineLevel="0" collapsed="false">
      <c r="A123" s="18" t="s">
        <v>346</v>
      </c>
      <c r="B123" s="6" t="s">
        <v>583</v>
      </c>
      <c r="C123" s="7" t="s">
        <v>584</v>
      </c>
      <c r="D123" s="8" t="s">
        <v>585</v>
      </c>
      <c r="E123" s="9" t="s">
        <v>586</v>
      </c>
      <c r="F123" s="10" t="s">
        <v>587</v>
      </c>
      <c r="G123" s="9" t="s">
        <v>588</v>
      </c>
      <c r="H123" s="11" t="s">
        <v>589</v>
      </c>
    </row>
    <row r="124" customFormat="false" ht="25.5" hidden="false" customHeight="true" outlineLevel="0" collapsed="false">
      <c r="A124" s="18" t="s">
        <v>346</v>
      </c>
      <c r="B124" s="6" t="s">
        <v>583</v>
      </c>
      <c r="C124" s="7" t="s">
        <v>590</v>
      </c>
      <c r="D124" s="8" t="s">
        <v>591</v>
      </c>
      <c r="E124" s="9" t="s">
        <v>592</v>
      </c>
      <c r="F124" s="10" t="s">
        <v>593</v>
      </c>
      <c r="G124" s="9" t="s">
        <v>594</v>
      </c>
      <c r="H124" s="11" t="s">
        <v>595</v>
      </c>
    </row>
    <row r="125" customFormat="false" ht="25.5" hidden="false" customHeight="true" outlineLevel="0" collapsed="false">
      <c r="A125" s="18" t="s">
        <v>346</v>
      </c>
      <c r="B125" s="6" t="s">
        <v>583</v>
      </c>
      <c r="C125" s="7" t="s">
        <v>596</v>
      </c>
      <c r="D125" s="8" t="s">
        <v>597</v>
      </c>
      <c r="E125" s="9" t="s">
        <v>598</v>
      </c>
      <c r="F125" s="10" t="s">
        <v>593</v>
      </c>
      <c r="G125" s="9" t="s">
        <v>599</v>
      </c>
      <c r="H125" s="11" t="s">
        <v>600</v>
      </c>
    </row>
    <row r="126" customFormat="false" ht="25.5" hidden="false" customHeight="true" outlineLevel="0" collapsed="false">
      <c r="A126" s="18" t="s">
        <v>346</v>
      </c>
      <c r="B126" s="6" t="s">
        <v>583</v>
      </c>
      <c r="C126" s="7" t="s">
        <v>601</v>
      </c>
      <c r="D126" s="8" t="s">
        <v>602</v>
      </c>
      <c r="E126" s="9" t="s">
        <v>603</v>
      </c>
      <c r="F126" s="10" t="s">
        <v>604</v>
      </c>
      <c r="G126" s="9" t="s">
        <v>605</v>
      </c>
      <c r="H126" s="11" t="s">
        <v>606</v>
      </c>
    </row>
    <row r="127" customFormat="false" ht="19.5" hidden="false" customHeight="true" outlineLevel="0" collapsed="false">
      <c r="A127" s="17" t="s">
        <v>607</v>
      </c>
      <c r="B127" s="17"/>
      <c r="C127" s="17"/>
      <c r="D127" s="17"/>
      <c r="E127" s="17"/>
      <c r="F127" s="17"/>
      <c r="G127" s="17"/>
      <c r="H127" s="17"/>
    </row>
    <row r="128" customFormat="false" ht="25.5" hidden="false" customHeight="true" outlineLevel="0" collapsed="false">
      <c r="A128" s="18" t="s">
        <v>346</v>
      </c>
      <c r="B128" s="6" t="s">
        <v>608</v>
      </c>
      <c r="C128" s="7" t="s">
        <v>609</v>
      </c>
      <c r="D128" s="8" t="s">
        <v>610</v>
      </c>
      <c r="E128" s="9" t="s">
        <v>611</v>
      </c>
      <c r="F128" s="10" t="s">
        <v>612</v>
      </c>
      <c r="G128" s="9" t="s">
        <v>613</v>
      </c>
      <c r="H128" s="11" t="s">
        <v>614</v>
      </c>
    </row>
    <row r="129" customFormat="false" ht="25.5" hidden="false" customHeight="true" outlineLevel="0" collapsed="false">
      <c r="A129" s="18" t="s">
        <v>346</v>
      </c>
      <c r="B129" s="6" t="s">
        <v>608</v>
      </c>
      <c r="C129" s="7" t="s">
        <v>615</v>
      </c>
      <c r="D129" s="8" t="s">
        <v>616</v>
      </c>
      <c r="E129" s="9" t="s">
        <v>617</v>
      </c>
      <c r="F129" s="10" t="s">
        <v>95</v>
      </c>
      <c r="G129" s="9" t="s">
        <v>618</v>
      </c>
      <c r="H129" s="11" t="s">
        <v>619</v>
      </c>
    </row>
    <row r="130" customFormat="false" ht="25.5" hidden="false" customHeight="true" outlineLevel="0" collapsed="false">
      <c r="A130" s="18" t="s">
        <v>346</v>
      </c>
      <c r="B130" s="6" t="s">
        <v>608</v>
      </c>
      <c r="C130" s="7" t="s">
        <v>620</v>
      </c>
      <c r="D130" s="8" t="s">
        <v>621</v>
      </c>
      <c r="E130" s="9" t="s">
        <v>622</v>
      </c>
      <c r="F130" s="10" t="s">
        <v>623</v>
      </c>
      <c r="G130" s="9" t="s">
        <v>624</v>
      </c>
      <c r="H130" s="11" t="s">
        <v>625</v>
      </c>
    </row>
    <row r="131" customFormat="false" ht="19.5" hidden="false" customHeight="true" outlineLevel="0" collapsed="false">
      <c r="A131" s="17" t="s">
        <v>626</v>
      </c>
      <c r="B131" s="17"/>
      <c r="C131" s="17"/>
      <c r="D131" s="17"/>
      <c r="E131" s="17"/>
      <c r="F131" s="17"/>
      <c r="G131" s="17"/>
      <c r="H131" s="17"/>
    </row>
    <row r="132" customFormat="false" ht="25.5" hidden="false" customHeight="true" outlineLevel="0" collapsed="false">
      <c r="A132" s="18" t="s">
        <v>346</v>
      </c>
      <c r="B132" s="6" t="s">
        <v>627</v>
      </c>
      <c r="C132" s="7" t="s">
        <v>628</v>
      </c>
      <c r="D132" s="8" t="s">
        <v>629</v>
      </c>
      <c r="E132" s="9" t="s">
        <v>630</v>
      </c>
      <c r="F132" s="12" t="s">
        <v>631</v>
      </c>
      <c r="G132" s="9" t="s">
        <v>632</v>
      </c>
      <c r="H132" s="11" t="s">
        <v>285</v>
      </c>
    </row>
    <row r="133" customFormat="false" ht="25.5" hidden="false" customHeight="true" outlineLevel="0" collapsed="false">
      <c r="A133" s="18" t="s">
        <v>346</v>
      </c>
      <c r="B133" s="6" t="s">
        <v>627</v>
      </c>
      <c r="C133" s="7" t="s">
        <v>633</v>
      </c>
      <c r="D133" s="8" t="s">
        <v>634</v>
      </c>
      <c r="E133" s="9" t="s">
        <v>635</v>
      </c>
      <c r="F133" s="10" t="s">
        <v>451</v>
      </c>
      <c r="G133" s="9" t="s">
        <v>636</v>
      </c>
      <c r="H133" s="11" t="s">
        <v>637</v>
      </c>
    </row>
    <row r="134" customFormat="false" ht="25.5" hidden="false" customHeight="true" outlineLevel="0" collapsed="false">
      <c r="A134" s="18" t="s">
        <v>346</v>
      </c>
      <c r="B134" s="6" t="s">
        <v>627</v>
      </c>
      <c r="C134" s="7" t="s">
        <v>638</v>
      </c>
      <c r="D134" s="8" t="s">
        <v>639</v>
      </c>
      <c r="E134" s="9" t="s">
        <v>640</v>
      </c>
      <c r="F134" s="10" t="s">
        <v>641</v>
      </c>
      <c r="G134" s="9" t="s">
        <v>642</v>
      </c>
      <c r="H134" s="11" t="s">
        <v>643</v>
      </c>
    </row>
    <row r="135" customFormat="false" ht="19.5" hidden="false" customHeight="true" outlineLevel="0" collapsed="false">
      <c r="A135" s="17" t="s">
        <v>644</v>
      </c>
      <c r="B135" s="17"/>
      <c r="C135" s="17"/>
      <c r="D135" s="17"/>
      <c r="E135" s="17"/>
      <c r="F135" s="17"/>
      <c r="G135" s="17"/>
      <c r="H135" s="17"/>
    </row>
    <row r="136" customFormat="false" ht="25.5" hidden="false" customHeight="true" outlineLevel="0" collapsed="false">
      <c r="A136" s="18" t="s">
        <v>346</v>
      </c>
      <c r="B136" s="6" t="s">
        <v>645</v>
      </c>
      <c r="C136" s="7" t="s">
        <v>646</v>
      </c>
      <c r="D136" s="8" t="s">
        <v>647</v>
      </c>
      <c r="E136" s="15" t="s">
        <v>648</v>
      </c>
      <c r="F136" s="10" t="s">
        <v>649</v>
      </c>
      <c r="G136" s="9" t="s">
        <v>650</v>
      </c>
      <c r="H136" s="11" t="s">
        <v>651</v>
      </c>
    </row>
    <row r="137" customFormat="false" ht="25.5" hidden="false" customHeight="true" outlineLevel="0" collapsed="false">
      <c r="A137" s="18" t="s">
        <v>346</v>
      </c>
      <c r="B137" s="6" t="s">
        <v>645</v>
      </c>
      <c r="C137" s="7" t="s">
        <v>652</v>
      </c>
      <c r="D137" s="8" t="s">
        <v>653</v>
      </c>
      <c r="E137" s="9" t="s">
        <v>654</v>
      </c>
      <c r="F137" s="10" t="s">
        <v>321</v>
      </c>
      <c r="G137" s="9" t="s">
        <v>655</v>
      </c>
      <c r="H137" s="11" t="s">
        <v>656</v>
      </c>
    </row>
    <row r="138" customFormat="false" ht="25.5" hidden="false" customHeight="true" outlineLevel="0" collapsed="false">
      <c r="A138" s="18" t="s">
        <v>346</v>
      </c>
      <c r="B138" s="6" t="s">
        <v>645</v>
      </c>
      <c r="C138" s="7" t="s">
        <v>657</v>
      </c>
      <c r="D138" s="8" t="s">
        <v>658</v>
      </c>
      <c r="E138" s="9" t="s">
        <v>659</v>
      </c>
      <c r="F138" s="10" t="s">
        <v>660</v>
      </c>
      <c r="G138" s="9" t="s">
        <v>661</v>
      </c>
      <c r="H138" s="11" t="s">
        <v>662</v>
      </c>
    </row>
    <row r="139" customFormat="false" ht="19.5" hidden="false" customHeight="true" outlineLevel="0" collapsed="false">
      <c r="A139" s="17" t="s">
        <v>663</v>
      </c>
      <c r="B139" s="17"/>
      <c r="C139" s="17"/>
      <c r="D139" s="17"/>
      <c r="E139" s="17"/>
      <c r="F139" s="17"/>
      <c r="G139" s="17"/>
      <c r="H139" s="17"/>
    </row>
    <row r="140" customFormat="false" ht="25.5" hidden="false" customHeight="true" outlineLevel="0" collapsed="false">
      <c r="A140" s="18" t="s">
        <v>346</v>
      </c>
      <c r="B140" s="6" t="s">
        <v>664</v>
      </c>
      <c r="C140" s="7" t="s">
        <v>335</v>
      </c>
      <c r="D140" s="8" t="s">
        <v>665</v>
      </c>
      <c r="E140" s="15" t="s">
        <v>22</v>
      </c>
      <c r="F140" s="12" t="s">
        <v>22</v>
      </c>
      <c r="G140" s="15" t="s">
        <v>22</v>
      </c>
      <c r="H140" s="16" t="s">
        <v>22</v>
      </c>
    </row>
    <row r="141" customFormat="false" ht="25.5" hidden="false" customHeight="true" outlineLevel="0" collapsed="false">
      <c r="A141" s="18" t="s">
        <v>346</v>
      </c>
      <c r="B141" s="6" t="s">
        <v>664</v>
      </c>
      <c r="C141" s="7" t="s">
        <v>337</v>
      </c>
      <c r="D141" s="8" t="s">
        <v>666</v>
      </c>
      <c r="E141" s="15" t="s">
        <v>22</v>
      </c>
      <c r="F141" s="12" t="s">
        <v>22</v>
      </c>
      <c r="G141" s="15" t="s">
        <v>22</v>
      </c>
      <c r="H141" s="16" t="s">
        <v>22</v>
      </c>
    </row>
    <row r="142" customFormat="false" ht="25.5" hidden="false" customHeight="true" outlineLevel="0" collapsed="false">
      <c r="A142" s="18" t="s">
        <v>346</v>
      </c>
      <c r="B142" s="6" t="s">
        <v>664</v>
      </c>
      <c r="C142" s="7" t="s">
        <v>339</v>
      </c>
      <c r="D142" s="8" t="s">
        <v>667</v>
      </c>
      <c r="E142" s="15" t="s">
        <v>22</v>
      </c>
      <c r="F142" s="12" t="s">
        <v>22</v>
      </c>
      <c r="G142" s="15" t="s">
        <v>22</v>
      </c>
      <c r="H142" s="16" t="s">
        <v>22</v>
      </c>
    </row>
    <row r="143" customFormat="false" ht="25.5" hidden="false" customHeight="true" outlineLevel="0" collapsed="false">
      <c r="A143" s="18" t="s">
        <v>346</v>
      </c>
      <c r="B143" s="6" t="s">
        <v>664</v>
      </c>
      <c r="C143" s="7" t="s">
        <v>341</v>
      </c>
      <c r="D143" s="8" t="s">
        <v>668</v>
      </c>
      <c r="E143" s="15" t="s">
        <v>22</v>
      </c>
      <c r="F143" s="12" t="s">
        <v>22</v>
      </c>
      <c r="G143" s="15" t="s">
        <v>22</v>
      </c>
      <c r="H143" s="16" t="s">
        <v>22</v>
      </c>
    </row>
    <row r="144" customFormat="false" ht="25.5" hidden="false" customHeight="true" outlineLevel="0" collapsed="false">
      <c r="A144" s="18" t="s">
        <v>346</v>
      </c>
      <c r="B144" s="6" t="s">
        <v>664</v>
      </c>
      <c r="C144" s="7" t="s">
        <v>343</v>
      </c>
      <c r="D144" s="8" t="s">
        <v>669</v>
      </c>
      <c r="E144" s="15" t="s">
        <v>22</v>
      </c>
      <c r="F144" s="12" t="s">
        <v>22</v>
      </c>
      <c r="G144" s="15" t="s">
        <v>22</v>
      </c>
      <c r="H144" s="16" t="s">
        <v>22</v>
      </c>
    </row>
    <row r="145" customFormat="false" ht="19.5" hidden="false" customHeight="true" outlineLevel="0" collapsed="false">
      <c r="A145" s="19" t="s">
        <v>670</v>
      </c>
      <c r="B145" s="19"/>
      <c r="C145" s="19"/>
      <c r="D145" s="19"/>
      <c r="E145" s="19"/>
      <c r="F145" s="19"/>
      <c r="G145" s="19"/>
      <c r="H145" s="19"/>
    </row>
    <row r="146" customFormat="false" ht="25.5" hidden="false" customHeight="true" outlineLevel="0" collapsed="false">
      <c r="A146" s="20" t="s">
        <v>671</v>
      </c>
      <c r="B146" s="6" t="s">
        <v>12</v>
      </c>
      <c r="C146" s="7" t="s">
        <v>13</v>
      </c>
      <c r="D146" s="8" t="s">
        <v>672</v>
      </c>
      <c r="E146" s="9" t="s">
        <v>673</v>
      </c>
      <c r="F146" s="10" t="s">
        <v>674</v>
      </c>
      <c r="G146" s="9" t="s">
        <v>675</v>
      </c>
      <c r="H146" s="11" t="s">
        <v>676</v>
      </c>
    </row>
    <row r="147" customFormat="false" ht="25.5" hidden="false" customHeight="true" outlineLevel="0" collapsed="false">
      <c r="A147" s="20" t="s">
        <v>671</v>
      </c>
      <c r="B147" s="6" t="s">
        <v>12</v>
      </c>
      <c r="C147" s="7" t="s">
        <v>677</v>
      </c>
      <c r="D147" s="14" t="s">
        <v>678</v>
      </c>
      <c r="E147" s="9" t="s">
        <v>679</v>
      </c>
      <c r="F147" s="10" t="s">
        <v>570</v>
      </c>
      <c r="G147" s="9" t="s">
        <v>680</v>
      </c>
      <c r="H147" s="11" t="s">
        <v>681</v>
      </c>
    </row>
    <row r="148" customFormat="false" ht="25.5" hidden="false" customHeight="true" outlineLevel="0" collapsed="false">
      <c r="A148" s="20" t="s">
        <v>671</v>
      </c>
      <c r="B148" s="6" t="s">
        <v>12</v>
      </c>
      <c r="C148" s="7" t="s">
        <v>25</v>
      </c>
      <c r="D148" s="8" t="s">
        <v>682</v>
      </c>
      <c r="E148" s="9" t="s">
        <v>683</v>
      </c>
      <c r="F148" s="10" t="s">
        <v>684</v>
      </c>
      <c r="G148" s="9" t="s">
        <v>685</v>
      </c>
      <c r="H148" s="11" t="s">
        <v>686</v>
      </c>
    </row>
    <row r="149" customFormat="false" ht="25.5" hidden="false" customHeight="true" outlineLevel="0" collapsed="false">
      <c r="A149" s="20" t="s">
        <v>671</v>
      </c>
      <c r="B149" s="6" t="s">
        <v>12</v>
      </c>
      <c r="C149" s="13" t="s">
        <v>30</v>
      </c>
      <c r="D149" s="14" t="s">
        <v>687</v>
      </c>
      <c r="E149" s="15" t="s">
        <v>688</v>
      </c>
      <c r="F149" s="12" t="s">
        <v>22</v>
      </c>
      <c r="G149" s="15" t="s">
        <v>22</v>
      </c>
      <c r="H149" s="11" t="s">
        <v>689</v>
      </c>
    </row>
    <row r="150" customFormat="false" ht="25.5" hidden="false" customHeight="true" outlineLevel="0" collapsed="false">
      <c r="A150" s="20" t="s">
        <v>671</v>
      </c>
      <c r="B150" s="6" t="s">
        <v>12</v>
      </c>
      <c r="C150" s="7" t="s">
        <v>364</v>
      </c>
      <c r="D150" s="8" t="s">
        <v>690</v>
      </c>
      <c r="E150" s="9" t="s">
        <v>691</v>
      </c>
      <c r="F150" s="12" t="s">
        <v>22</v>
      </c>
      <c r="G150" s="15" t="s">
        <v>22</v>
      </c>
      <c r="H150" s="11" t="s">
        <v>692</v>
      </c>
    </row>
    <row r="151" customFormat="false" ht="19.5" hidden="false" customHeight="true" outlineLevel="0" collapsed="false">
      <c r="A151" s="19" t="s">
        <v>693</v>
      </c>
      <c r="B151" s="19"/>
      <c r="C151" s="19"/>
      <c r="D151" s="19"/>
      <c r="E151" s="19"/>
      <c r="F151" s="19"/>
      <c r="G151" s="19"/>
      <c r="H151" s="19"/>
    </row>
    <row r="152" customFormat="false" ht="25.5" hidden="false" customHeight="true" outlineLevel="0" collapsed="false">
      <c r="A152" s="20" t="s">
        <v>671</v>
      </c>
      <c r="B152" s="6" t="s">
        <v>694</v>
      </c>
      <c r="C152" s="13" t="s">
        <v>695</v>
      </c>
      <c r="D152" s="8" t="s">
        <v>696</v>
      </c>
      <c r="E152" s="9" t="s">
        <v>697</v>
      </c>
      <c r="F152" s="12" t="s">
        <v>508</v>
      </c>
      <c r="G152" s="9" t="s">
        <v>698</v>
      </c>
      <c r="H152" s="11" t="s">
        <v>699</v>
      </c>
    </row>
    <row r="153" customFormat="false" ht="25.5" hidden="false" customHeight="true" outlineLevel="0" collapsed="false">
      <c r="A153" s="20" t="s">
        <v>671</v>
      </c>
      <c r="B153" s="6" t="s">
        <v>694</v>
      </c>
      <c r="C153" s="13" t="s">
        <v>700</v>
      </c>
      <c r="D153" s="8" t="s">
        <v>701</v>
      </c>
      <c r="E153" s="9" t="s">
        <v>702</v>
      </c>
      <c r="F153" s="10" t="s">
        <v>703</v>
      </c>
      <c r="G153" s="15" t="s">
        <v>704</v>
      </c>
      <c r="H153" s="11" t="s">
        <v>705</v>
      </c>
    </row>
    <row r="154" customFormat="false" ht="25.5" hidden="false" customHeight="true" outlineLevel="0" collapsed="false">
      <c r="A154" s="20" t="s">
        <v>671</v>
      </c>
      <c r="B154" s="6" t="s">
        <v>694</v>
      </c>
      <c r="C154" s="7" t="s">
        <v>706</v>
      </c>
      <c r="D154" s="8" t="s">
        <v>707</v>
      </c>
      <c r="E154" s="9" t="s">
        <v>708</v>
      </c>
      <c r="F154" s="10" t="s">
        <v>709</v>
      </c>
      <c r="G154" s="15" t="s">
        <v>710</v>
      </c>
      <c r="H154" s="11" t="s">
        <v>711</v>
      </c>
    </row>
    <row r="155" customFormat="false" ht="25.5" hidden="false" customHeight="true" outlineLevel="0" collapsed="false">
      <c r="A155" s="20" t="s">
        <v>671</v>
      </c>
      <c r="B155" s="6" t="s">
        <v>694</v>
      </c>
      <c r="C155" s="7" t="s">
        <v>712</v>
      </c>
      <c r="D155" s="8" t="s">
        <v>713</v>
      </c>
      <c r="E155" s="9" t="s">
        <v>714</v>
      </c>
      <c r="F155" s="10" t="s">
        <v>570</v>
      </c>
      <c r="G155" s="9" t="s">
        <v>715</v>
      </c>
      <c r="H155" s="11" t="s">
        <v>716</v>
      </c>
    </row>
    <row r="156" customFormat="false" ht="19.5" hidden="false" customHeight="true" outlineLevel="0" collapsed="false">
      <c r="A156" s="19" t="s">
        <v>717</v>
      </c>
      <c r="B156" s="19"/>
      <c r="C156" s="19"/>
      <c r="D156" s="19"/>
      <c r="E156" s="19"/>
      <c r="F156" s="19"/>
      <c r="G156" s="19"/>
      <c r="H156" s="19"/>
    </row>
    <row r="157" customFormat="false" ht="25.5" hidden="false" customHeight="true" outlineLevel="0" collapsed="false">
      <c r="A157" s="20" t="s">
        <v>671</v>
      </c>
      <c r="B157" s="6" t="s">
        <v>718</v>
      </c>
      <c r="C157" s="7" t="s">
        <v>719</v>
      </c>
      <c r="D157" s="8" t="s">
        <v>720</v>
      </c>
      <c r="E157" s="9" t="s">
        <v>721</v>
      </c>
      <c r="F157" s="10" t="s">
        <v>451</v>
      </c>
      <c r="G157" s="9" t="s">
        <v>722</v>
      </c>
      <c r="H157" s="11" t="s">
        <v>723</v>
      </c>
    </row>
    <row r="158" customFormat="false" ht="25.5" hidden="false" customHeight="true" outlineLevel="0" collapsed="false">
      <c r="A158" s="20" t="s">
        <v>671</v>
      </c>
      <c r="B158" s="6" t="s">
        <v>718</v>
      </c>
      <c r="C158" s="7" t="s">
        <v>724</v>
      </c>
      <c r="D158" s="8" t="s">
        <v>725</v>
      </c>
      <c r="E158" s="9" t="s">
        <v>726</v>
      </c>
      <c r="F158" s="10" t="s">
        <v>727</v>
      </c>
      <c r="G158" s="9" t="s">
        <v>728</v>
      </c>
      <c r="H158" s="11" t="s">
        <v>729</v>
      </c>
    </row>
    <row r="159" customFormat="false" ht="25.5" hidden="false" customHeight="true" outlineLevel="0" collapsed="false">
      <c r="A159" s="20" t="s">
        <v>671</v>
      </c>
      <c r="B159" s="6" t="s">
        <v>718</v>
      </c>
      <c r="C159" s="7" t="s">
        <v>730</v>
      </c>
      <c r="D159" s="8" t="s">
        <v>731</v>
      </c>
      <c r="E159" s="9" t="s">
        <v>732</v>
      </c>
      <c r="F159" s="10" t="s">
        <v>733</v>
      </c>
      <c r="G159" s="9" t="s">
        <v>734</v>
      </c>
      <c r="H159" s="11" t="s">
        <v>735</v>
      </c>
    </row>
    <row r="160" customFormat="false" ht="25.5" hidden="false" customHeight="true" outlineLevel="0" collapsed="false">
      <c r="A160" s="20" t="s">
        <v>671</v>
      </c>
      <c r="B160" s="6" t="s">
        <v>718</v>
      </c>
      <c r="C160" s="7" t="s">
        <v>736</v>
      </c>
      <c r="D160" s="8" t="s">
        <v>737</v>
      </c>
      <c r="E160" s="9" t="s">
        <v>738</v>
      </c>
      <c r="F160" s="10" t="s">
        <v>739</v>
      </c>
      <c r="G160" s="9" t="s">
        <v>740</v>
      </c>
      <c r="H160" s="11" t="s">
        <v>741</v>
      </c>
    </row>
    <row r="161" customFormat="false" ht="19.5" hidden="false" customHeight="true" outlineLevel="0" collapsed="false">
      <c r="A161" s="19" t="s">
        <v>742</v>
      </c>
      <c r="B161" s="19"/>
      <c r="C161" s="19"/>
      <c r="D161" s="19"/>
      <c r="E161" s="19"/>
      <c r="F161" s="19"/>
      <c r="G161" s="19"/>
      <c r="H161" s="19"/>
    </row>
    <row r="162" customFormat="false" ht="25.5" hidden="false" customHeight="true" outlineLevel="0" collapsed="false">
      <c r="A162" s="20" t="s">
        <v>671</v>
      </c>
      <c r="B162" s="6" t="s">
        <v>743</v>
      </c>
      <c r="C162" s="7" t="s">
        <v>744</v>
      </c>
      <c r="D162" s="8" t="s">
        <v>745</v>
      </c>
      <c r="E162" s="9" t="s">
        <v>746</v>
      </c>
      <c r="F162" s="10" t="s">
        <v>747</v>
      </c>
      <c r="G162" s="9" t="s">
        <v>748</v>
      </c>
      <c r="H162" s="11" t="s">
        <v>749</v>
      </c>
    </row>
    <row r="163" customFormat="false" ht="25.5" hidden="false" customHeight="true" outlineLevel="0" collapsed="false">
      <c r="A163" s="20" t="s">
        <v>671</v>
      </c>
      <c r="B163" s="6" t="s">
        <v>743</v>
      </c>
      <c r="C163" s="7" t="s">
        <v>750</v>
      </c>
      <c r="D163" s="8" t="s">
        <v>751</v>
      </c>
      <c r="E163" s="9" t="s">
        <v>752</v>
      </c>
      <c r="F163" s="12" t="s">
        <v>753</v>
      </c>
      <c r="G163" s="9" t="s">
        <v>754</v>
      </c>
      <c r="H163" s="11" t="s">
        <v>755</v>
      </c>
    </row>
    <row r="164" customFormat="false" ht="25.5" hidden="false" customHeight="true" outlineLevel="0" collapsed="false">
      <c r="A164" s="20" t="s">
        <v>671</v>
      </c>
      <c r="B164" s="6" t="s">
        <v>743</v>
      </c>
      <c r="C164" s="7" t="s">
        <v>756</v>
      </c>
      <c r="D164" s="8" t="s">
        <v>757</v>
      </c>
      <c r="E164" s="9" t="s">
        <v>758</v>
      </c>
      <c r="F164" s="10" t="s">
        <v>759</v>
      </c>
      <c r="G164" s="9" t="s">
        <v>760</v>
      </c>
      <c r="H164" s="11" t="s">
        <v>761</v>
      </c>
    </row>
    <row r="165" customFormat="false" ht="25.5" hidden="false" customHeight="true" outlineLevel="0" collapsed="false">
      <c r="A165" s="20" t="s">
        <v>671</v>
      </c>
      <c r="B165" s="6" t="s">
        <v>743</v>
      </c>
      <c r="C165" s="7" t="s">
        <v>762</v>
      </c>
      <c r="D165" s="8" t="s">
        <v>763</v>
      </c>
      <c r="E165" s="9" t="s">
        <v>764</v>
      </c>
      <c r="F165" s="10" t="s">
        <v>765</v>
      </c>
      <c r="G165" s="9" t="s">
        <v>766</v>
      </c>
      <c r="H165" s="11" t="s">
        <v>767</v>
      </c>
    </row>
    <row r="166" customFormat="false" ht="25.5" hidden="false" customHeight="true" outlineLevel="0" collapsed="false">
      <c r="A166" s="20" t="s">
        <v>671</v>
      </c>
      <c r="B166" s="6" t="s">
        <v>743</v>
      </c>
      <c r="C166" s="7" t="s">
        <v>768</v>
      </c>
      <c r="D166" s="8" t="s">
        <v>769</v>
      </c>
      <c r="E166" s="9" t="s">
        <v>770</v>
      </c>
      <c r="F166" s="10" t="s">
        <v>771</v>
      </c>
      <c r="G166" s="9" t="s">
        <v>772</v>
      </c>
      <c r="H166" s="11" t="s">
        <v>773</v>
      </c>
    </row>
    <row r="167" customFormat="false" ht="19.5" hidden="false" customHeight="true" outlineLevel="0" collapsed="false">
      <c r="A167" s="19" t="s">
        <v>774</v>
      </c>
      <c r="B167" s="19"/>
      <c r="C167" s="19"/>
      <c r="D167" s="19"/>
      <c r="E167" s="19"/>
      <c r="F167" s="19"/>
      <c r="G167" s="19"/>
      <c r="H167" s="19"/>
    </row>
    <row r="168" customFormat="false" ht="25.5" hidden="false" customHeight="true" outlineLevel="0" collapsed="false">
      <c r="A168" s="20" t="s">
        <v>671</v>
      </c>
      <c r="B168" s="6" t="s">
        <v>775</v>
      </c>
      <c r="C168" s="7" t="s">
        <v>776</v>
      </c>
      <c r="D168" s="8" t="s">
        <v>777</v>
      </c>
      <c r="E168" s="9" t="s">
        <v>778</v>
      </c>
      <c r="F168" s="10" t="s">
        <v>779</v>
      </c>
      <c r="G168" s="9" t="s">
        <v>780</v>
      </c>
      <c r="H168" s="11" t="s">
        <v>781</v>
      </c>
    </row>
    <row r="169" customFormat="false" ht="25.5" hidden="false" customHeight="true" outlineLevel="0" collapsed="false">
      <c r="A169" s="20" t="s">
        <v>671</v>
      </c>
      <c r="B169" s="6" t="s">
        <v>775</v>
      </c>
      <c r="C169" s="7" t="s">
        <v>782</v>
      </c>
      <c r="D169" s="8" t="s">
        <v>783</v>
      </c>
      <c r="E169" s="9" t="s">
        <v>784</v>
      </c>
      <c r="F169" s="10" t="s">
        <v>785</v>
      </c>
      <c r="G169" s="9" t="s">
        <v>786</v>
      </c>
      <c r="H169" s="11" t="s">
        <v>787</v>
      </c>
    </row>
    <row r="170" customFormat="false" ht="25.5" hidden="false" customHeight="true" outlineLevel="0" collapsed="false">
      <c r="A170" s="20" t="s">
        <v>671</v>
      </c>
      <c r="B170" s="6" t="s">
        <v>775</v>
      </c>
      <c r="C170" s="7" t="s">
        <v>788</v>
      </c>
      <c r="D170" s="8" t="s">
        <v>789</v>
      </c>
      <c r="E170" s="9" t="s">
        <v>790</v>
      </c>
      <c r="F170" s="10" t="s">
        <v>791</v>
      </c>
      <c r="G170" s="9" t="s">
        <v>792</v>
      </c>
      <c r="H170" s="11" t="s">
        <v>793</v>
      </c>
    </row>
    <row r="171" customFormat="false" ht="25.5" hidden="false" customHeight="true" outlineLevel="0" collapsed="false">
      <c r="A171" s="20" t="s">
        <v>671</v>
      </c>
      <c r="B171" s="6" t="s">
        <v>775</v>
      </c>
      <c r="C171" s="7" t="s">
        <v>794</v>
      </c>
      <c r="D171" s="8" t="s">
        <v>795</v>
      </c>
      <c r="E171" s="9" t="s">
        <v>796</v>
      </c>
      <c r="F171" s="10" t="s">
        <v>797</v>
      </c>
      <c r="G171" s="9" t="s">
        <v>798</v>
      </c>
      <c r="H171" s="11" t="s">
        <v>799</v>
      </c>
    </row>
    <row r="172" customFormat="false" ht="19.5" hidden="false" customHeight="true" outlineLevel="0" collapsed="false">
      <c r="A172" s="19" t="s">
        <v>800</v>
      </c>
      <c r="B172" s="19"/>
      <c r="C172" s="19"/>
      <c r="D172" s="19"/>
      <c r="E172" s="19"/>
      <c r="F172" s="19"/>
      <c r="G172" s="19"/>
      <c r="H172" s="19"/>
    </row>
    <row r="173" customFormat="false" ht="25.5" hidden="false" customHeight="true" outlineLevel="0" collapsed="false">
      <c r="A173" s="20" t="s">
        <v>671</v>
      </c>
      <c r="B173" s="6" t="s">
        <v>801</v>
      </c>
      <c r="C173" s="7" t="s">
        <v>802</v>
      </c>
      <c r="D173" s="8" t="s">
        <v>803</v>
      </c>
      <c r="E173" s="9" t="s">
        <v>804</v>
      </c>
      <c r="F173" s="10" t="s">
        <v>805</v>
      </c>
      <c r="G173" s="9" t="s">
        <v>806</v>
      </c>
      <c r="H173" s="11" t="s">
        <v>807</v>
      </c>
    </row>
    <row r="174" customFormat="false" ht="25.5" hidden="false" customHeight="true" outlineLevel="0" collapsed="false">
      <c r="A174" s="20" t="s">
        <v>671</v>
      </c>
      <c r="B174" s="6" t="s">
        <v>801</v>
      </c>
      <c r="C174" s="7" t="s">
        <v>808</v>
      </c>
      <c r="D174" s="8" t="s">
        <v>809</v>
      </c>
      <c r="E174" s="9" t="s">
        <v>810</v>
      </c>
      <c r="F174" s="10" t="s">
        <v>811</v>
      </c>
      <c r="G174" s="9" t="s">
        <v>812</v>
      </c>
      <c r="H174" s="11" t="s">
        <v>813</v>
      </c>
    </row>
    <row r="175" customFormat="false" ht="25.5" hidden="false" customHeight="true" outlineLevel="0" collapsed="false">
      <c r="A175" s="20" t="s">
        <v>671</v>
      </c>
      <c r="B175" s="6" t="s">
        <v>801</v>
      </c>
      <c r="C175" s="7" t="s">
        <v>814</v>
      </c>
      <c r="D175" s="14" t="s">
        <v>815</v>
      </c>
      <c r="E175" s="9" t="s">
        <v>816</v>
      </c>
      <c r="F175" s="10" t="s">
        <v>817</v>
      </c>
      <c r="G175" s="9" t="s">
        <v>818</v>
      </c>
      <c r="H175" s="11" t="s">
        <v>819</v>
      </c>
    </row>
    <row r="176" customFormat="false" ht="25.5" hidden="false" customHeight="true" outlineLevel="0" collapsed="false">
      <c r="A176" s="20" t="s">
        <v>671</v>
      </c>
      <c r="B176" s="6" t="s">
        <v>801</v>
      </c>
      <c r="C176" s="7" t="s">
        <v>820</v>
      </c>
      <c r="D176" s="8" t="s">
        <v>821</v>
      </c>
      <c r="E176" s="9" t="s">
        <v>766</v>
      </c>
      <c r="F176" s="10" t="s">
        <v>822</v>
      </c>
      <c r="G176" s="9" t="s">
        <v>823</v>
      </c>
      <c r="H176" s="11" t="s">
        <v>824</v>
      </c>
    </row>
    <row r="177" customFormat="false" ht="19.5" hidden="false" customHeight="true" outlineLevel="0" collapsed="false">
      <c r="A177" s="19" t="s">
        <v>825</v>
      </c>
      <c r="B177" s="19"/>
      <c r="C177" s="19"/>
      <c r="D177" s="19"/>
      <c r="E177" s="19"/>
      <c r="F177" s="19"/>
      <c r="G177" s="19"/>
      <c r="H177" s="19"/>
    </row>
    <row r="178" customFormat="false" ht="25.5" hidden="false" customHeight="true" outlineLevel="0" collapsed="false">
      <c r="A178" s="20" t="s">
        <v>671</v>
      </c>
      <c r="B178" s="6" t="s">
        <v>826</v>
      </c>
      <c r="C178" s="7" t="s">
        <v>827</v>
      </c>
      <c r="D178" s="8" t="s">
        <v>828</v>
      </c>
      <c r="E178" s="9" t="s">
        <v>829</v>
      </c>
      <c r="F178" s="10" t="s">
        <v>830</v>
      </c>
      <c r="G178" s="9" t="s">
        <v>831</v>
      </c>
      <c r="H178" s="11" t="s">
        <v>832</v>
      </c>
    </row>
    <row r="179" customFormat="false" ht="25.5" hidden="false" customHeight="true" outlineLevel="0" collapsed="false">
      <c r="A179" s="20" t="s">
        <v>671</v>
      </c>
      <c r="B179" s="6" t="s">
        <v>826</v>
      </c>
      <c r="C179" s="7" t="s">
        <v>833</v>
      </c>
      <c r="D179" s="8" t="s">
        <v>834</v>
      </c>
      <c r="E179" s="9" t="s">
        <v>835</v>
      </c>
      <c r="F179" s="12" t="s">
        <v>836</v>
      </c>
      <c r="G179" s="9" t="s">
        <v>837</v>
      </c>
      <c r="H179" s="11" t="s">
        <v>838</v>
      </c>
    </row>
    <row r="180" customFormat="false" ht="25.5" hidden="false" customHeight="true" outlineLevel="0" collapsed="false">
      <c r="A180" s="20" t="s">
        <v>671</v>
      </c>
      <c r="B180" s="6" t="s">
        <v>826</v>
      </c>
      <c r="C180" s="7" t="s">
        <v>839</v>
      </c>
      <c r="D180" s="8" t="s">
        <v>840</v>
      </c>
      <c r="E180" s="9" t="s">
        <v>841</v>
      </c>
      <c r="F180" s="12" t="s">
        <v>22</v>
      </c>
      <c r="G180" s="9" t="s">
        <v>842</v>
      </c>
      <c r="H180" s="11" t="s">
        <v>843</v>
      </c>
    </row>
    <row r="181" customFormat="false" ht="25.5" hidden="false" customHeight="true" outlineLevel="0" collapsed="false">
      <c r="A181" s="20" t="s">
        <v>671</v>
      </c>
      <c r="B181" s="6" t="s">
        <v>826</v>
      </c>
      <c r="C181" s="7" t="s">
        <v>844</v>
      </c>
      <c r="D181" s="8" t="s">
        <v>845</v>
      </c>
      <c r="E181" s="9" t="s">
        <v>846</v>
      </c>
      <c r="F181" s="10" t="s">
        <v>847</v>
      </c>
      <c r="G181" s="9" t="s">
        <v>848</v>
      </c>
      <c r="H181" s="11" t="s">
        <v>849</v>
      </c>
    </row>
    <row r="182" customFormat="false" ht="19.5" hidden="false" customHeight="true" outlineLevel="0" collapsed="false">
      <c r="A182" s="19" t="s">
        <v>850</v>
      </c>
      <c r="B182" s="19"/>
      <c r="C182" s="19"/>
      <c r="D182" s="19"/>
      <c r="E182" s="19"/>
      <c r="F182" s="19"/>
      <c r="G182" s="19"/>
      <c r="H182" s="19"/>
    </row>
    <row r="183" customFormat="false" ht="25.5" hidden="false" customHeight="true" outlineLevel="0" collapsed="false">
      <c r="A183" s="20" t="s">
        <v>671</v>
      </c>
      <c r="B183" s="6" t="s">
        <v>851</v>
      </c>
      <c r="C183" s="7" t="s">
        <v>852</v>
      </c>
      <c r="D183" s="8" t="s">
        <v>853</v>
      </c>
      <c r="E183" s="9" t="s">
        <v>854</v>
      </c>
      <c r="F183" s="10" t="s">
        <v>855</v>
      </c>
      <c r="G183" s="9" t="s">
        <v>856</v>
      </c>
      <c r="H183" s="11" t="s">
        <v>857</v>
      </c>
    </row>
    <row r="184" customFormat="false" ht="25.5" hidden="false" customHeight="true" outlineLevel="0" collapsed="false">
      <c r="A184" s="20" t="s">
        <v>671</v>
      </c>
      <c r="B184" s="6" t="s">
        <v>851</v>
      </c>
      <c r="C184" s="13" t="s">
        <v>858</v>
      </c>
      <c r="D184" s="8" t="s">
        <v>859</v>
      </c>
      <c r="E184" s="9" t="s">
        <v>860</v>
      </c>
      <c r="F184" s="10" t="s">
        <v>861</v>
      </c>
      <c r="G184" s="15" t="s">
        <v>862</v>
      </c>
      <c r="H184" s="11" t="s">
        <v>863</v>
      </c>
    </row>
    <row r="185" customFormat="false" ht="25.5" hidden="false" customHeight="true" outlineLevel="0" collapsed="false">
      <c r="A185" s="20" t="s">
        <v>671</v>
      </c>
      <c r="B185" s="6" t="s">
        <v>851</v>
      </c>
      <c r="C185" s="7" t="s">
        <v>864</v>
      </c>
      <c r="D185" s="8" t="s">
        <v>865</v>
      </c>
      <c r="E185" s="9" t="s">
        <v>866</v>
      </c>
      <c r="F185" s="10" t="s">
        <v>867</v>
      </c>
      <c r="G185" s="9" t="s">
        <v>868</v>
      </c>
      <c r="H185" s="11" t="s">
        <v>869</v>
      </c>
    </row>
    <row r="186" customFormat="false" ht="25.5" hidden="false" customHeight="true" outlineLevel="0" collapsed="false">
      <c r="A186" s="20" t="s">
        <v>671</v>
      </c>
      <c r="B186" s="6" t="s">
        <v>851</v>
      </c>
      <c r="C186" s="7" t="s">
        <v>870</v>
      </c>
      <c r="D186" s="8" t="s">
        <v>871</v>
      </c>
      <c r="E186" s="9" t="s">
        <v>872</v>
      </c>
      <c r="F186" s="10" t="s">
        <v>867</v>
      </c>
      <c r="G186" s="9" t="s">
        <v>873</v>
      </c>
      <c r="H186" s="11" t="s">
        <v>874</v>
      </c>
    </row>
    <row r="187" customFormat="false" ht="19.5" hidden="false" customHeight="true" outlineLevel="0" collapsed="false">
      <c r="A187" s="19" t="s">
        <v>875</v>
      </c>
      <c r="B187" s="19"/>
      <c r="C187" s="19"/>
      <c r="D187" s="19"/>
      <c r="E187" s="19"/>
      <c r="F187" s="19"/>
      <c r="G187" s="19"/>
      <c r="H187" s="19"/>
    </row>
    <row r="188" customFormat="false" ht="25.5" hidden="false" customHeight="true" outlineLevel="0" collapsed="false">
      <c r="A188" s="20" t="s">
        <v>671</v>
      </c>
      <c r="B188" s="6" t="s">
        <v>876</v>
      </c>
      <c r="C188" s="7" t="s">
        <v>877</v>
      </c>
      <c r="D188" s="8" t="s">
        <v>878</v>
      </c>
      <c r="E188" s="9" t="s">
        <v>879</v>
      </c>
      <c r="F188" s="10" t="s">
        <v>811</v>
      </c>
      <c r="G188" s="9" t="s">
        <v>868</v>
      </c>
      <c r="H188" s="11" t="s">
        <v>880</v>
      </c>
    </row>
    <row r="189" customFormat="false" ht="25.5" hidden="false" customHeight="true" outlineLevel="0" collapsed="false">
      <c r="A189" s="20" t="s">
        <v>671</v>
      </c>
      <c r="B189" s="6" t="s">
        <v>876</v>
      </c>
      <c r="C189" s="7" t="s">
        <v>881</v>
      </c>
      <c r="D189" s="8" t="s">
        <v>882</v>
      </c>
      <c r="E189" s="9" t="s">
        <v>883</v>
      </c>
      <c r="F189" s="10" t="s">
        <v>884</v>
      </c>
      <c r="G189" s="9" t="s">
        <v>885</v>
      </c>
      <c r="H189" s="11" t="s">
        <v>886</v>
      </c>
    </row>
    <row r="190" customFormat="false" ht="25.5" hidden="false" customHeight="true" outlineLevel="0" collapsed="false">
      <c r="A190" s="20" t="s">
        <v>671</v>
      </c>
      <c r="B190" s="6" t="s">
        <v>876</v>
      </c>
      <c r="C190" s="7" t="s">
        <v>887</v>
      </c>
      <c r="D190" s="8" t="s">
        <v>888</v>
      </c>
      <c r="E190" s="9" t="s">
        <v>889</v>
      </c>
      <c r="F190" s="10" t="s">
        <v>890</v>
      </c>
      <c r="G190" s="9" t="s">
        <v>891</v>
      </c>
      <c r="H190" s="11" t="s">
        <v>892</v>
      </c>
    </row>
    <row r="191" customFormat="false" ht="25.5" hidden="false" customHeight="true" outlineLevel="0" collapsed="false">
      <c r="A191" s="20" t="s">
        <v>671</v>
      </c>
      <c r="B191" s="6" t="s">
        <v>876</v>
      </c>
      <c r="C191" s="13" t="s">
        <v>893</v>
      </c>
      <c r="D191" s="8" t="s">
        <v>894</v>
      </c>
      <c r="E191" s="9" t="s">
        <v>895</v>
      </c>
      <c r="F191" s="10" t="s">
        <v>811</v>
      </c>
      <c r="G191" s="9" t="s">
        <v>896</v>
      </c>
      <c r="H191" s="11" t="s">
        <v>897</v>
      </c>
    </row>
    <row r="192" customFormat="false" ht="19.5" hidden="false" customHeight="true" outlineLevel="0" collapsed="false">
      <c r="A192" s="19" t="s">
        <v>898</v>
      </c>
      <c r="B192" s="19"/>
      <c r="C192" s="19"/>
      <c r="D192" s="19"/>
      <c r="E192" s="19"/>
      <c r="F192" s="19"/>
      <c r="G192" s="19"/>
      <c r="H192" s="19"/>
    </row>
    <row r="193" customFormat="false" ht="25.5" hidden="false" customHeight="true" outlineLevel="0" collapsed="false">
      <c r="A193" s="20" t="s">
        <v>671</v>
      </c>
      <c r="B193" s="6" t="s">
        <v>899</v>
      </c>
      <c r="C193" s="7" t="s">
        <v>900</v>
      </c>
      <c r="D193" s="8" t="s">
        <v>901</v>
      </c>
      <c r="E193" s="9" t="s">
        <v>902</v>
      </c>
      <c r="F193" s="10" t="s">
        <v>903</v>
      </c>
      <c r="G193" s="9" t="s">
        <v>904</v>
      </c>
      <c r="H193" s="11" t="s">
        <v>905</v>
      </c>
    </row>
    <row r="194" customFormat="false" ht="25.5" hidden="false" customHeight="true" outlineLevel="0" collapsed="false">
      <c r="A194" s="20" t="s">
        <v>671</v>
      </c>
      <c r="B194" s="6" t="s">
        <v>899</v>
      </c>
      <c r="C194" s="7" t="s">
        <v>906</v>
      </c>
      <c r="D194" s="8" t="s">
        <v>907</v>
      </c>
      <c r="E194" s="9" t="s">
        <v>908</v>
      </c>
      <c r="F194" s="10" t="s">
        <v>909</v>
      </c>
      <c r="G194" s="9" t="s">
        <v>910</v>
      </c>
      <c r="H194" s="11" t="s">
        <v>911</v>
      </c>
    </row>
    <row r="195" customFormat="false" ht="25.5" hidden="false" customHeight="true" outlineLevel="0" collapsed="false">
      <c r="A195" s="20" t="s">
        <v>671</v>
      </c>
      <c r="B195" s="6" t="s">
        <v>899</v>
      </c>
      <c r="C195" s="7" t="s">
        <v>912</v>
      </c>
      <c r="D195" s="8" t="s">
        <v>913</v>
      </c>
      <c r="E195" s="9" t="s">
        <v>914</v>
      </c>
      <c r="F195" s="10" t="s">
        <v>915</v>
      </c>
      <c r="G195" s="9" t="s">
        <v>916</v>
      </c>
      <c r="H195" s="11" t="s">
        <v>917</v>
      </c>
    </row>
    <row r="196" customFormat="false" ht="19.5" hidden="false" customHeight="true" outlineLevel="0" collapsed="false">
      <c r="A196" s="19" t="s">
        <v>918</v>
      </c>
      <c r="B196" s="19"/>
      <c r="C196" s="19"/>
      <c r="D196" s="19"/>
      <c r="E196" s="19"/>
      <c r="F196" s="19"/>
      <c r="G196" s="19"/>
      <c r="H196" s="19"/>
    </row>
    <row r="197" customFormat="false" ht="25.5" hidden="false" customHeight="true" outlineLevel="0" collapsed="false">
      <c r="A197" s="20" t="s">
        <v>671</v>
      </c>
      <c r="B197" s="6" t="s">
        <v>919</v>
      </c>
      <c r="C197" s="7" t="s">
        <v>920</v>
      </c>
      <c r="D197" s="8" t="s">
        <v>921</v>
      </c>
      <c r="E197" s="9" t="s">
        <v>922</v>
      </c>
      <c r="F197" s="10" t="s">
        <v>923</v>
      </c>
      <c r="G197" s="9" t="s">
        <v>924</v>
      </c>
      <c r="H197" s="11" t="s">
        <v>925</v>
      </c>
    </row>
    <row r="198" customFormat="false" ht="25.5" hidden="false" customHeight="true" outlineLevel="0" collapsed="false">
      <c r="A198" s="20" t="s">
        <v>671</v>
      </c>
      <c r="B198" s="6" t="s">
        <v>919</v>
      </c>
      <c r="C198" s="7" t="s">
        <v>926</v>
      </c>
      <c r="D198" s="14" t="s">
        <v>927</v>
      </c>
      <c r="E198" s="9" t="s">
        <v>928</v>
      </c>
      <c r="F198" s="10" t="s">
        <v>570</v>
      </c>
      <c r="G198" s="9" t="s">
        <v>929</v>
      </c>
      <c r="H198" s="11" t="s">
        <v>930</v>
      </c>
    </row>
    <row r="199" customFormat="false" ht="25.5" hidden="false" customHeight="true" outlineLevel="0" collapsed="false">
      <c r="A199" s="20" t="s">
        <v>671</v>
      </c>
      <c r="B199" s="6" t="s">
        <v>919</v>
      </c>
      <c r="C199" s="7" t="s">
        <v>931</v>
      </c>
      <c r="D199" s="8" t="s">
        <v>932</v>
      </c>
      <c r="E199" s="9" t="s">
        <v>933</v>
      </c>
      <c r="F199" s="10" t="s">
        <v>934</v>
      </c>
      <c r="G199" s="9" t="s">
        <v>935</v>
      </c>
      <c r="H199" s="11" t="s">
        <v>936</v>
      </c>
    </row>
    <row r="200" customFormat="false" ht="19.5" hidden="false" customHeight="true" outlineLevel="0" collapsed="false">
      <c r="A200" s="19" t="s">
        <v>937</v>
      </c>
      <c r="B200" s="19"/>
      <c r="C200" s="19"/>
      <c r="D200" s="19"/>
      <c r="E200" s="19"/>
      <c r="F200" s="19"/>
      <c r="G200" s="19"/>
      <c r="H200" s="19"/>
    </row>
    <row r="201" customFormat="false" ht="25.5" hidden="false" customHeight="true" outlineLevel="0" collapsed="false">
      <c r="A201" s="20" t="s">
        <v>671</v>
      </c>
      <c r="B201" s="6" t="s">
        <v>938</v>
      </c>
      <c r="C201" s="7" t="s">
        <v>939</v>
      </c>
      <c r="D201" s="8" t="s">
        <v>940</v>
      </c>
      <c r="E201" s="9" t="s">
        <v>941</v>
      </c>
      <c r="F201" s="10" t="s">
        <v>847</v>
      </c>
      <c r="G201" s="9" t="s">
        <v>942</v>
      </c>
      <c r="H201" s="11" t="s">
        <v>943</v>
      </c>
    </row>
    <row r="202" customFormat="false" ht="25.5" hidden="false" customHeight="true" outlineLevel="0" collapsed="false">
      <c r="A202" s="20" t="s">
        <v>671</v>
      </c>
      <c r="B202" s="6" t="s">
        <v>938</v>
      </c>
      <c r="C202" s="7" t="s">
        <v>944</v>
      </c>
      <c r="D202" s="8" t="s">
        <v>945</v>
      </c>
      <c r="E202" s="9" t="s">
        <v>738</v>
      </c>
      <c r="F202" s="10" t="s">
        <v>739</v>
      </c>
      <c r="G202" s="9" t="s">
        <v>946</v>
      </c>
      <c r="H202" s="11" t="s">
        <v>947</v>
      </c>
    </row>
    <row r="203" customFormat="false" ht="25.5" hidden="false" customHeight="true" outlineLevel="0" collapsed="false">
      <c r="A203" s="20" t="s">
        <v>671</v>
      </c>
      <c r="B203" s="6" t="s">
        <v>938</v>
      </c>
      <c r="C203" s="7" t="s">
        <v>948</v>
      </c>
      <c r="D203" s="8" t="s">
        <v>949</v>
      </c>
      <c r="E203" s="9" t="s">
        <v>950</v>
      </c>
      <c r="F203" s="10" t="s">
        <v>951</v>
      </c>
      <c r="G203" s="9" t="s">
        <v>952</v>
      </c>
      <c r="H203" s="11" t="s">
        <v>953</v>
      </c>
    </row>
    <row r="204" customFormat="false" ht="19.5" hidden="false" customHeight="true" outlineLevel="0" collapsed="false">
      <c r="A204" s="19" t="s">
        <v>954</v>
      </c>
      <c r="B204" s="19"/>
      <c r="C204" s="19"/>
      <c r="D204" s="19"/>
      <c r="E204" s="19"/>
      <c r="F204" s="19"/>
      <c r="G204" s="19"/>
      <c r="H204" s="19"/>
    </row>
    <row r="205" customFormat="false" ht="25.5" hidden="false" customHeight="true" outlineLevel="0" collapsed="false">
      <c r="A205" s="20" t="s">
        <v>671</v>
      </c>
      <c r="B205" s="6" t="s">
        <v>955</v>
      </c>
      <c r="C205" s="7" t="s">
        <v>335</v>
      </c>
      <c r="D205" s="8" t="s">
        <v>956</v>
      </c>
      <c r="E205" s="15" t="s">
        <v>22</v>
      </c>
      <c r="F205" s="12" t="s">
        <v>22</v>
      </c>
      <c r="G205" s="15" t="s">
        <v>22</v>
      </c>
      <c r="H205" s="16" t="s">
        <v>22</v>
      </c>
    </row>
    <row r="206" customFormat="false" ht="25.5" hidden="false" customHeight="true" outlineLevel="0" collapsed="false">
      <c r="A206" s="20" t="s">
        <v>671</v>
      </c>
      <c r="B206" s="6" t="s">
        <v>955</v>
      </c>
      <c r="C206" s="7" t="s">
        <v>337</v>
      </c>
      <c r="D206" s="8" t="s">
        <v>957</v>
      </c>
      <c r="E206" s="15" t="s">
        <v>22</v>
      </c>
      <c r="F206" s="12" t="s">
        <v>22</v>
      </c>
      <c r="G206" s="15" t="s">
        <v>22</v>
      </c>
      <c r="H206" s="16" t="s">
        <v>22</v>
      </c>
    </row>
    <row r="207" customFormat="false" ht="25.5" hidden="false" customHeight="true" outlineLevel="0" collapsed="false">
      <c r="A207" s="20" t="s">
        <v>671</v>
      </c>
      <c r="B207" s="6" t="s">
        <v>955</v>
      </c>
      <c r="C207" s="7" t="s">
        <v>339</v>
      </c>
      <c r="D207" s="8" t="s">
        <v>958</v>
      </c>
      <c r="E207" s="15" t="s">
        <v>22</v>
      </c>
      <c r="F207" s="12" t="s">
        <v>22</v>
      </c>
      <c r="G207" s="15" t="s">
        <v>22</v>
      </c>
      <c r="H207" s="16" t="s">
        <v>22</v>
      </c>
    </row>
    <row r="208" customFormat="false" ht="25.5" hidden="false" customHeight="true" outlineLevel="0" collapsed="false">
      <c r="A208" s="20" t="s">
        <v>671</v>
      </c>
      <c r="B208" s="6" t="s">
        <v>955</v>
      </c>
      <c r="C208" s="7" t="s">
        <v>341</v>
      </c>
      <c r="D208" s="8" t="s">
        <v>959</v>
      </c>
      <c r="E208" s="15" t="s">
        <v>22</v>
      </c>
      <c r="F208" s="12" t="s">
        <v>22</v>
      </c>
      <c r="G208" s="15" t="s">
        <v>22</v>
      </c>
      <c r="H208" s="16" t="s">
        <v>22</v>
      </c>
    </row>
    <row r="209" customFormat="false" ht="25.5" hidden="false" customHeight="true" outlineLevel="0" collapsed="false">
      <c r="A209" s="20" t="s">
        <v>671</v>
      </c>
      <c r="B209" s="6" t="s">
        <v>955</v>
      </c>
      <c r="C209" s="7" t="s">
        <v>343</v>
      </c>
      <c r="D209" s="8" t="s">
        <v>960</v>
      </c>
      <c r="E209" s="15" t="s">
        <v>22</v>
      </c>
      <c r="F209" s="12" t="s">
        <v>22</v>
      </c>
      <c r="G209" s="15" t="s">
        <v>22</v>
      </c>
      <c r="H209" s="16" t="s">
        <v>22</v>
      </c>
    </row>
  </sheetData>
  <autoFilter ref="A4:H209"/>
  <mergeCells count="39">
    <mergeCell ref="A5:H5"/>
    <mergeCell ref="A11:H11"/>
    <mergeCell ref="A17:H17"/>
    <mergeCell ref="A26:H26"/>
    <mergeCell ref="A32:H32"/>
    <mergeCell ref="A38:H38"/>
    <mergeCell ref="A43:H43"/>
    <mergeCell ref="A48:H48"/>
    <mergeCell ref="A54:H54"/>
    <mergeCell ref="A59:H59"/>
    <mergeCell ref="A64:H64"/>
    <mergeCell ref="A68:H68"/>
    <mergeCell ref="A74:H74"/>
    <mergeCell ref="A80:H80"/>
    <mergeCell ref="A85:H85"/>
    <mergeCell ref="A91:H91"/>
    <mergeCell ref="A96:H96"/>
    <mergeCell ref="A101:H101"/>
    <mergeCell ref="A106:H106"/>
    <mergeCell ref="A112:H112"/>
    <mergeCell ref="A117:H117"/>
    <mergeCell ref="A122:H122"/>
    <mergeCell ref="A127:H127"/>
    <mergeCell ref="A131:H131"/>
    <mergeCell ref="A135:H135"/>
    <mergeCell ref="A139:H139"/>
    <mergeCell ref="A145:H145"/>
    <mergeCell ref="A151:H151"/>
    <mergeCell ref="A156:H156"/>
    <mergeCell ref="A161:H161"/>
    <mergeCell ref="A167:H167"/>
    <mergeCell ref="A172:H172"/>
    <mergeCell ref="A177:H177"/>
    <mergeCell ref="A182:H182"/>
    <mergeCell ref="A187:H187"/>
    <mergeCell ref="A192:H192"/>
    <mergeCell ref="A196:H196"/>
    <mergeCell ref="A200:H200"/>
    <mergeCell ref="A204:H2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9" topLeftCell="G30" activePane="bottomRight" state="frozen"/>
      <selection pane="topLeft" activeCell="A1" activeCellId="0" sqref="A1"/>
      <selection pane="topRight" activeCell="G1" activeCellId="0" sqref="G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"/>
    <col collapsed="false" customWidth="true" hidden="false" outlineLevel="0" max="3" min="3" style="0" width="19"/>
    <col collapsed="false" customWidth="true" hidden="false" outlineLevel="0" max="4" min="4" style="0" width="5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13" min="8" style="0" width="11"/>
  </cols>
  <sheetData>
    <row r="1" customFormat="false" ht="20.1" hidden="false" customHeight="false" outlineLevel="0" collapsed="false">
      <c r="A1" s="1" t="s">
        <v>961</v>
      </c>
    </row>
    <row r="2" customFormat="false" ht="15" hidden="false" customHeight="false" outlineLevel="0" collapsed="false">
      <c r="A2" s="2" t="s">
        <v>962</v>
      </c>
    </row>
    <row r="4" customFormat="false" ht="19.5" hidden="false" customHeight="true" outlineLevel="0" collapsed="false">
      <c r="A4" s="21" t="s">
        <v>963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customFormat="false" ht="18" hidden="false" customHeight="true" outlineLevel="0" collapsed="false">
      <c r="A5" s="3" t="s">
        <v>964</v>
      </c>
      <c r="B5" s="3" t="s">
        <v>965</v>
      </c>
      <c r="C5" s="3" t="s">
        <v>966</v>
      </c>
      <c r="D5" s="3" t="s">
        <v>967</v>
      </c>
      <c r="E5" s="3" t="s">
        <v>968</v>
      </c>
      <c r="F5" s="3"/>
      <c r="G5" s="3"/>
      <c r="H5" s="3"/>
      <c r="I5" s="3"/>
      <c r="J5" s="3"/>
      <c r="K5" s="3"/>
    </row>
    <row r="6" customFormat="false" ht="15.75" hidden="false" customHeight="true" outlineLevel="0" collapsed="false">
      <c r="A6" s="22" t="s">
        <v>969</v>
      </c>
      <c r="B6" s="23" t="s">
        <v>970</v>
      </c>
      <c r="C6" s="24" t="n">
        <v>70</v>
      </c>
      <c r="D6" s="24" t="n">
        <v>40</v>
      </c>
      <c r="E6" s="24" t="n">
        <v>10</v>
      </c>
    </row>
    <row r="7" customFormat="false" ht="15.75" hidden="false" customHeight="true" outlineLevel="0" collapsed="false">
      <c r="A7" s="22" t="s">
        <v>971</v>
      </c>
      <c r="B7" s="23" t="s">
        <v>972</v>
      </c>
      <c r="C7" s="24" t="n">
        <v>20</v>
      </c>
      <c r="D7" s="24" t="n">
        <v>40</v>
      </c>
      <c r="E7" s="24" t="n">
        <v>40</v>
      </c>
    </row>
    <row r="8" customFormat="false" ht="15.75" hidden="false" customHeight="true" outlineLevel="0" collapsed="false">
      <c r="A8" s="22" t="s">
        <v>973</v>
      </c>
      <c r="B8" s="23" t="s">
        <v>974</v>
      </c>
      <c r="C8" s="24" t="n">
        <v>10</v>
      </c>
      <c r="D8" s="24" t="n">
        <v>20</v>
      </c>
      <c r="E8" s="24" t="n">
        <v>50</v>
      </c>
    </row>
    <row r="9" customFormat="false" ht="15" hidden="false" customHeight="false" outlineLevel="0" collapsed="false">
      <c r="B9" s="25" t="s">
        <v>975</v>
      </c>
      <c r="C9" s="26" t="n">
        <f aca="false">SUM(C6:C8)</f>
        <v>100</v>
      </c>
      <c r="D9" s="26" t="n">
        <f aca="false">SUM(D6:D8)</f>
        <v>100</v>
      </c>
      <c r="E9" s="26" t="n">
        <f aca="false">SUM(E6:E8)</f>
        <v>100</v>
      </c>
      <c r="F9" s="27" t="str">
        <f aca="false">IF(AND(C9=100,D9=100,E9=100),"✓ 权重体系有效","✗ 每列须合计 100")</f>
        <v>✓ 权重体系有效</v>
      </c>
    </row>
    <row r="11" customFormat="false" ht="19.5" hidden="false" customHeight="true" outlineLevel="0" collapsed="false">
      <c r="A11" s="21" t="s">
        <v>976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customFormat="false" ht="30" hidden="false" customHeight="true" outlineLevel="0" collapsed="false">
      <c r="A12" s="3" t="s">
        <v>977</v>
      </c>
      <c r="B12" s="3" t="s">
        <v>978</v>
      </c>
      <c r="C12" s="3" t="s">
        <v>964</v>
      </c>
      <c r="D12" s="3" t="s">
        <v>979</v>
      </c>
      <c r="E12" s="3" t="s">
        <v>980</v>
      </c>
      <c r="F12" s="3" t="s">
        <v>981</v>
      </c>
      <c r="G12" s="3" t="s">
        <v>982</v>
      </c>
      <c r="H12" s="28" t="s">
        <v>983</v>
      </c>
      <c r="I12" s="28" t="s">
        <v>984</v>
      </c>
      <c r="J12" s="28" t="s">
        <v>985</v>
      </c>
      <c r="K12" s="28" t="s">
        <v>986</v>
      </c>
      <c r="L12" s="28" t="s">
        <v>987</v>
      </c>
      <c r="M12" s="28" t="s">
        <v>988</v>
      </c>
    </row>
    <row r="13" customFormat="false" ht="25.5" hidden="false" customHeight="true" outlineLevel="0" collapsed="false">
      <c r="A13" s="29" t="s">
        <v>989</v>
      </c>
      <c r="B13" s="27" t="s">
        <v>990</v>
      </c>
      <c r="C13" s="30" t="s">
        <v>969</v>
      </c>
      <c r="D13" s="31" t="s">
        <v>991</v>
      </c>
      <c r="E13" s="9" t="s">
        <v>992</v>
      </c>
      <c r="F13" s="32" t="s">
        <v>993</v>
      </c>
      <c r="G13" s="33" t="s">
        <v>994</v>
      </c>
      <c r="H13" s="34" t="n">
        <v>20</v>
      </c>
      <c r="I13" s="34" t="n">
        <v>25</v>
      </c>
      <c r="J13" s="34" t="n">
        <v>25</v>
      </c>
      <c r="K13" s="35" t="n">
        <f aca="false">H13/100*INDEX($C$6:$E$8,MATCH($C13,$A$6:$A$8,0),1)</f>
        <v>14</v>
      </c>
      <c r="L13" s="35" t="n">
        <f aca="false">I13/100*INDEX($C$6:$E$8,MATCH($C13,$A$6:$A$8,0),2)</f>
        <v>10</v>
      </c>
      <c r="M13" s="35" t="n">
        <f aca="false">J13/100*INDEX($C$6:$E$8,MATCH($C13,$A$6:$A$8,0),3)</f>
        <v>2.5</v>
      </c>
    </row>
    <row r="14" customFormat="false" ht="25.5" hidden="false" customHeight="true" outlineLevel="0" collapsed="false">
      <c r="A14" s="29" t="s">
        <v>995</v>
      </c>
      <c r="B14" s="27" t="s">
        <v>996</v>
      </c>
      <c r="C14" s="30" t="s">
        <v>969</v>
      </c>
      <c r="D14" s="31" t="s">
        <v>997</v>
      </c>
      <c r="E14" s="9" t="s">
        <v>998</v>
      </c>
      <c r="F14" s="32" t="s">
        <v>999</v>
      </c>
      <c r="G14" s="33" t="s">
        <v>1000</v>
      </c>
      <c r="H14" s="34" t="n">
        <v>30</v>
      </c>
      <c r="I14" s="34" t="n">
        <v>25</v>
      </c>
      <c r="J14" s="34" t="n">
        <v>20</v>
      </c>
      <c r="K14" s="35" t="n">
        <f aca="false">H14/100*INDEX($C$6:$E$8,MATCH($C14,$A$6:$A$8,0),1)</f>
        <v>21</v>
      </c>
      <c r="L14" s="35" t="n">
        <f aca="false">I14/100*INDEX($C$6:$E$8,MATCH($C14,$A$6:$A$8,0),2)</f>
        <v>10</v>
      </c>
      <c r="M14" s="35" t="n">
        <f aca="false">J14/100*INDEX($C$6:$E$8,MATCH($C14,$A$6:$A$8,0),3)</f>
        <v>2</v>
      </c>
    </row>
    <row r="15" customFormat="false" ht="25.5" hidden="false" customHeight="true" outlineLevel="0" collapsed="false">
      <c r="A15" s="29" t="s">
        <v>1001</v>
      </c>
      <c r="B15" s="27" t="s">
        <v>1002</v>
      </c>
      <c r="C15" s="30" t="s">
        <v>969</v>
      </c>
      <c r="D15" s="31" t="s">
        <v>1003</v>
      </c>
      <c r="E15" s="9" t="s">
        <v>1004</v>
      </c>
      <c r="F15" s="32" t="s">
        <v>1005</v>
      </c>
      <c r="G15" s="36" t="s">
        <v>1006</v>
      </c>
      <c r="H15" s="34" t="n">
        <v>25</v>
      </c>
      <c r="I15" s="34" t="n">
        <v>10</v>
      </c>
      <c r="J15" s="34" t="n">
        <v>5</v>
      </c>
      <c r="K15" s="35" t="n">
        <f aca="false">H15/100*INDEX($C$6:$E$8,MATCH($C15,$A$6:$A$8,0),1)</f>
        <v>17.5</v>
      </c>
      <c r="L15" s="35" t="n">
        <f aca="false">I15/100*INDEX($C$6:$E$8,MATCH($C15,$A$6:$A$8,0),2)</f>
        <v>4</v>
      </c>
      <c r="M15" s="35" t="n">
        <f aca="false">J15/100*INDEX($C$6:$E$8,MATCH($C15,$A$6:$A$8,0),3)</f>
        <v>0.5</v>
      </c>
    </row>
    <row r="16" customFormat="false" ht="25.5" hidden="false" customHeight="true" outlineLevel="0" collapsed="false">
      <c r="A16" s="29" t="s">
        <v>1007</v>
      </c>
      <c r="B16" s="27" t="s">
        <v>1008</v>
      </c>
      <c r="C16" s="30" t="s">
        <v>969</v>
      </c>
      <c r="D16" s="31" t="s">
        <v>1009</v>
      </c>
      <c r="E16" s="9" t="s">
        <v>1010</v>
      </c>
      <c r="F16" s="32" t="s">
        <v>1011</v>
      </c>
      <c r="G16" s="33" t="s">
        <v>1012</v>
      </c>
      <c r="H16" s="34" t="n">
        <v>5</v>
      </c>
      <c r="I16" s="34" t="n">
        <v>35</v>
      </c>
      <c r="J16" s="34" t="n">
        <v>40</v>
      </c>
      <c r="K16" s="35" t="n">
        <f aca="false">H16/100*INDEX($C$6:$E$8,MATCH($C16,$A$6:$A$8,0),1)</f>
        <v>3.5</v>
      </c>
      <c r="L16" s="35" t="n">
        <f aca="false">I16/100*INDEX($C$6:$E$8,MATCH($C16,$A$6:$A$8,0),2)</f>
        <v>14</v>
      </c>
      <c r="M16" s="35" t="n">
        <f aca="false">J16/100*INDEX($C$6:$E$8,MATCH($C16,$A$6:$A$8,0),3)</f>
        <v>4</v>
      </c>
    </row>
    <row r="17" customFormat="false" ht="25.5" hidden="false" customHeight="true" outlineLevel="0" collapsed="false">
      <c r="A17" s="29" t="s">
        <v>1013</v>
      </c>
      <c r="B17" s="27" t="s">
        <v>1014</v>
      </c>
      <c r="C17" s="30" t="s">
        <v>969</v>
      </c>
      <c r="D17" s="31" t="s">
        <v>1015</v>
      </c>
      <c r="E17" s="9" t="s">
        <v>1016</v>
      </c>
      <c r="F17" s="32" t="s">
        <v>1017</v>
      </c>
      <c r="G17" s="36" t="s">
        <v>1018</v>
      </c>
      <c r="H17" s="34" t="n">
        <v>20</v>
      </c>
      <c r="I17" s="34" t="n">
        <v>5</v>
      </c>
      <c r="J17" s="34" t="n">
        <v>10</v>
      </c>
      <c r="K17" s="35" t="n">
        <f aca="false">H17/100*INDEX($C$6:$E$8,MATCH($C17,$A$6:$A$8,0),1)</f>
        <v>14</v>
      </c>
      <c r="L17" s="35" t="n">
        <f aca="false">I17/100*INDEX($C$6:$E$8,MATCH($C17,$A$6:$A$8,0),2)</f>
        <v>2</v>
      </c>
      <c r="M17" s="35" t="n">
        <f aca="false">J17/100*INDEX($C$6:$E$8,MATCH($C17,$A$6:$A$8,0),3)</f>
        <v>1</v>
      </c>
    </row>
    <row r="18" customFormat="false" ht="25.5" hidden="false" customHeight="true" outlineLevel="0" collapsed="false">
      <c r="A18" s="29" t="s">
        <v>1019</v>
      </c>
      <c r="B18" s="27" t="s">
        <v>1020</v>
      </c>
      <c r="C18" s="30" t="s">
        <v>971</v>
      </c>
      <c r="D18" s="37" t="s">
        <v>1021</v>
      </c>
      <c r="E18" s="9" t="s">
        <v>1022</v>
      </c>
      <c r="F18" s="32" t="s">
        <v>1023</v>
      </c>
      <c r="G18" s="33" t="s">
        <v>1024</v>
      </c>
      <c r="H18" s="34" t="n">
        <v>50</v>
      </c>
      <c r="I18" s="34" t="n">
        <v>30</v>
      </c>
      <c r="J18" s="34" t="n">
        <v>15</v>
      </c>
      <c r="K18" s="35" t="n">
        <f aca="false">H18/100*INDEX($C$6:$E$8,MATCH($C18,$A$6:$A$8,0),1)</f>
        <v>10</v>
      </c>
      <c r="L18" s="35" t="n">
        <f aca="false">I18/100*INDEX($C$6:$E$8,MATCH($C18,$A$6:$A$8,0),2)</f>
        <v>12</v>
      </c>
      <c r="M18" s="35" t="n">
        <f aca="false">J18/100*INDEX($C$6:$E$8,MATCH($C18,$A$6:$A$8,0),3)</f>
        <v>6</v>
      </c>
    </row>
    <row r="19" customFormat="false" ht="25.5" hidden="false" customHeight="true" outlineLevel="0" collapsed="false">
      <c r="A19" s="29" t="s">
        <v>1025</v>
      </c>
      <c r="B19" s="27" t="s">
        <v>1026</v>
      </c>
      <c r="C19" s="30" t="s">
        <v>971</v>
      </c>
      <c r="D19" s="37" t="s">
        <v>1027</v>
      </c>
      <c r="E19" s="9" t="s">
        <v>1028</v>
      </c>
      <c r="F19" s="32" t="s">
        <v>1029</v>
      </c>
      <c r="G19" s="33" t="s">
        <v>1030</v>
      </c>
      <c r="H19" s="34" t="n">
        <v>15</v>
      </c>
      <c r="I19" s="34" t="n">
        <v>35</v>
      </c>
      <c r="J19" s="34" t="n">
        <v>20</v>
      </c>
      <c r="K19" s="35" t="n">
        <f aca="false">H19/100*INDEX($C$6:$E$8,MATCH($C19,$A$6:$A$8,0),1)</f>
        <v>3</v>
      </c>
      <c r="L19" s="35" t="n">
        <f aca="false">I19/100*INDEX($C$6:$E$8,MATCH($C19,$A$6:$A$8,0),2)</f>
        <v>14</v>
      </c>
      <c r="M19" s="35" t="n">
        <f aca="false">J19/100*INDEX($C$6:$E$8,MATCH($C19,$A$6:$A$8,0),3)</f>
        <v>8</v>
      </c>
    </row>
    <row r="20" customFormat="false" ht="25.5" hidden="false" customHeight="true" outlineLevel="0" collapsed="false">
      <c r="A20" s="29" t="s">
        <v>1031</v>
      </c>
      <c r="B20" s="27" t="s">
        <v>1032</v>
      </c>
      <c r="C20" s="30" t="s">
        <v>971</v>
      </c>
      <c r="D20" s="37" t="s">
        <v>1033</v>
      </c>
      <c r="E20" s="9" t="s">
        <v>1034</v>
      </c>
      <c r="F20" s="32" t="s">
        <v>1035</v>
      </c>
      <c r="G20" s="36" t="s">
        <v>1036</v>
      </c>
      <c r="H20" s="34" t="n">
        <v>30</v>
      </c>
      <c r="I20" s="34" t="n">
        <v>20</v>
      </c>
      <c r="J20" s="34" t="n">
        <v>25</v>
      </c>
      <c r="K20" s="35" t="n">
        <f aca="false">H20/100*INDEX($C$6:$E$8,MATCH($C20,$A$6:$A$8,0),1)</f>
        <v>6</v>
      </c>
      <c r="L20" s="35" t="n">
        <f aca="false">I20/100*INDEX($C$6:$E$8,MATCH($C20,$A$6:$A$8,0),2)</f>
        <v>8</v>
      </c>
      <c r="M20" s="35" t="n">
        <f aca="false">J20/100*INDEX($C$6:$E$8,MATCH($C20,$A$6:$A$8,0),3)</f>
        <v>10</v>
      </c>
    </row>
    <row r="21" customFormat="false" ht="25.5" hidden="false" customHeight="true" outlineLevel="0" collapsed="false">
      <c r="A21" s="29" t="s">
        <v>1037</v>
      </c>
      <c r="B21" s="27" t="s">
        <v>1038</v>
      </c>
      <c r="C21" s="30" t="s">
        <v>971</v>
      </c>
      <c r="D21" s="31" t="s">
        <v>1039</v>
      </c>
      <c r="E21" s="9" t="s">
        <v>1040</v>
      </c>
      <c r="F21" s="32" t="s">
        <v>1041</v>
      </c>
      <c r="G21" s="33" t="s">
        <v>1042</v>
      </c>
      <c r="H21" s="34" t="n">
        <v>5</v>
      </c>
      <c r="I21" s="34" t="n">
        <v>15</v>
      </c>
      <c r="J21" s="34" t="n">
        <v>40</v>
      </c>
      <c r="K21" s="35" t="n">
        <f aca="false">H21/100*INDEX($C$6:$E$8,MATCH($C21,$A$6:$A$8,0),1)</f>
        <v>1</v>
      </c>
      <c r="L21" s="35" t="n">
        <f aca="false">I21/100*INDEX($C$6:$E$8,MATCH($C21,$A$6:$A$8,0),2)</f>
        <v>6</v>
      </c>
      <c r="M21" s="35" t="n">
        <f aca="false">J21/100*INDEX($C$6:$E$8,MATCH($C21,$A$6:$A$8,0),3)</f>
        <v>16</v>
      </c>
    </row>
    <row r="22" customFormat="false" ht="25.5" hidden="false" customHeight="true" outlineLevel="0" collapsed="false">
      <c r="A22" s="29" t="s">
        <v>1043</v>
      </c>
      <c r="B22" s="27" t="s">
        <v>1044</v>
      </c>
      <c r="C22" s="30" t="s">
        <v>973</v>
      </c>
      <c r="D22" s="31" t="s">
        <v>1045</v>
      </c>
      <c r="E22" s="15" t="s">
        <v>1046</v>
      </c>
      <c r="F22" s="32" t="s">
        <v>1047</v>
      </c>
      <c r="G22" s="36" t="s">
        <v>1048</v>
      </c>
      <c r="H22" s="34" t="n">
        <v>50</v>
      </c>
      <c r="I22" s="34" t="n">
        <v>30</v>
      </c>
      <c r="J22" s="34" t="n">
        <v>20</v>
      </c>
      <c r="K22" s="35" t="n">
        <f aca="false">H22/100*INDEX($C$6:$E$8,MATCH($C22,$A$6:$A$8,0),1)</f>
        <v>5</v>
      </c>
      <c r="L22" s="35" t="n">
        <f aca="false">I22/100*INDEX($C$6:$E$8,MATCH($C22,$A$6:$A$8,0),2)</f>
        <v>6</v>
      </c>
      <c r="M22" s="35" t="n">
        <f aca="false">J22/100*INDEX($C$6:$E$8,MATCH($C22,$A$6:$A$8,0),3)</f>
        <v>10</v>
      </c>
    </row>
    <row r="23" customFormat="false" ht="25.5" hidden="false" customHeight="true" outlineLevel="0" collapsed="false">
      <c r="A23" s="29" t="s">
        <v>1049</v>
      </c>
      <c r="B23" s="27" t="s">
        <v>1050</v>
      </c>
      <c r="C23" s="30" t="s">
        <v>973</v>
      </c>
      <c r="D23" s="31" t="s">
        <v>1051</v>
      </c>
      <c r="E23" s="9" t="s">
        <v>1052</v>
      </c>
      <c r="F23" s="32" t="s">
        <v>1053</v>
      </c>
      <c r="G23" s="36" t="s">
        <v>1054</v>
      </c>
      <c r="H23" s="34" t="n">
        <v>30</v>
      </c>
      <c r="I23" s="34" t="n">
        <v>45</v>
      </c>
      <c r="J23" s="34" t="n">
        <v>50</v>
      </c>
      <c r="K23" s="35" t="n">
        <f aca="false">H23/100*INDEX($C$6:$E$8,MATCH($C23,$A$6:$A$8,0),1)</f>
        <v>3</v>
      </c>
      <c r="L23" s="35" t="n">
        <f aca="false">I23/100*INDEX($C$6:$E$8,MATCH($C23,$A$6:$A$8,0),2)</f>
        <v>9</v>
      </c>
      <c r="M23" s="35" t="n">
        <f aca="false">J23/100*INDEX($C$6:$E$8,MATCH($C23,$A$6:$A$8,0),3)</f>
        <v>25</v>
      </c>
    </row>
    <row r="24" customFormat="false" ht="25.5" hidden="false" customHeight="true" outlineLevel="0" collapsed="false">
      <c r="A24" s="29" t="s">
        <v>1055</v>
      </c>
      <c r="B24" s="27" t="s">
        <v>1056</v>
      </c>
      <c r="C24" s="30" t="s">
        <v>973</v>
      </c>
      <c r="D24" s="31" t="s">
        <v>1057</v>
      </c>
      <c r="E24" s="9" t="s">
        <v>1058</v>
      </c>
      <c r="F24" s="32" t="s">
        <v>1059</v>
      </c>
      <c r="G24" s="33" t="s">
        <v>1060</v>
      </c>
      <c r="H24" s="34" t="n">
        <v>20</v>
      </c>
      <c r="I24" s="34" t="n">
        <v>25</v>
      </c>
      <c r="J24" s="34" t="n">
        <v>30</v>
      </c>
      <c r="K24" s="35" t="n">
        <f aca="false">H24/100*INDEX($C$6:$E$8,MATCH($C24,$A$6:$A$8,0),1)</f>
        <v>2</v>
      </c>
      <c r="L24" s="35" t="n">
        <f aca="false">I24/100*INDEX($C$6:$E$8,MATCH($C24,$A$6:$A$8,0),2)</f>
        <v>5</v>
      </c>
      <c r="M24" s="35" t="n">
        <f aca="false">J24/100*INDEX($C$6:$E$8,MATCH($C24,$A$6:$A$8,0),3)</f>
        <v>15</v>
      </c>
    </row>
    <row r="25" customFormat="false" ht="15" hidden="false" customHeight="false" outlineLevel="0" collapsed="false">
      <c r="B25" s="25" t="s">
        <v>1061</v>
      </c>
      <c r="H25" s="38" t="str">
        <f aca="false">SUMPRODUCT(--($C$13:$C$24="R"),H$13:H$24)&amp;" / "&amp;SUMPRODUCT(--($C$13:$C$24="M"),H$13:H$24)&amp;" / "&amp;SUMPRODUCT(--($C$13:$C$24="f"),H$13:H$24)</f>
        <v>100 / 100 / 100</v>
      </c>
      <c r="I25" s="38" t="str">
        <f aca="false">SUMPRODUCT(--($C$13:$C$24="R"),I$13:I$24)&amp;" / "&amp;SUMPRODUCT(--($C$13:$C$24="M"),I$13:I$24)&amp;" / "&amp;SUMPRODUCT(--($C$13:$C$24="f"),I$13:I$24)</f>
        <v>100 / 100 / 100</v>
      </c>
      <c r="J25" s="38" t="str">
        <f aca="false">SUMPRODUCT(--($C$13:$C$24="R"),J$13:J$24)&amp;" / "&amp;SUMPRODUCT(--($C$13:$C$24="M"),J$13:J$24)&amp;" / "&amp;SUMPRODUCT(--($C$13:$C$24="f"),J$13:J$24)</f>
        <v>100 / 100 / 100</v>
      </c>
      <c r="K25" s="35" t="n">
        <f aca="false">SUM(K13:K24)</f>
        <v>100</v>
      </c>
      <c r="L25" s="35" t="n">
        <f aca="false">SUM(L13:L24)</f>
        <v>100</v>
      </c>
      <c r="M25" s="35" t="n">
        <f aca="false">SUM(M13:M24)</f>
        <v>100</v>
      </c>
    </row>
    <row r="26" customFormat="false" ht="15" hidden="false" customHeight="false" outlineLevel="0" collapsed="false">
      <c r="B26" s="39" t="s">
        <v>1062</v>
      </c>
      <c r="H26" s="23" t="s">
        <v>1063</v>
      </c>
    </row>
    <row r="28" customFormat="false" ht="19.5" hidden="false" customHeight="true" outlineLevel="0" collapsed="false">
      <c r="A28" s="21" t="s">
        <v>1064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customFormat="false" ht="27.75" hidden="false" customHeight="true" outlineLevel="0" collapsed="false">
      <c r="A29" s="3" t="s">
        <v>2</v>
      </c>
      <c r="B29" s="3" t="s">
        <v>977</v>
      </c>
      <c r="C29" s="3" t="s">
        <v>978</v>
      </c>
      <c r="D29" s="3" t="s">
        <v>964</v>
      </c>
      <c r="E29" s="3" t="s">
        <v>1065</v>
      </c>
      <c r="F29" s="3" t="s">
        <v>1066</v>
      </c>
      <c r="G29" s="3" t="s">
        <v>1067</v>
      </c>
      <c r="H29" s="3" t="s">
        <v>1068</v>
      </c>
      <c r="I29" s="3" t="s">
        <v>981</v>
      </c>
      <c r="J29" s="3" t="s">
        <v>982</v>
      </c>
      <c r="K29" s="3" t="s">
        <v>1069</v>
      </c>
    </row>
    <row r="30" customFormat="false" ht="21.75" hidden="false" customHeight="true" outlineLevel="0" collapsed="false">
      <c r="A30" s="5" t="s">
        <v>11</v>
      </c>
      <c r="B30" s="29" t="s">
        <v>989</v>
      </c>
      <c r="C30" s="40" t="s">
        <v>1070</v>
      </c>
      <c r="D30" s="30" t="s">
        <v>969</v>
      </c>
      <c r="E30" s="41" t="n">
        <f aca="false">K13</f>
        <v>14</v>
      </c>
      <c r="F30" s="42" t="str">
        <f aca="false">IF(E30&gt;=10,"★★★ 核心",IF(E30&gt;=5,"★★ 辅助",IF(E30&gt;=2,"★ 补充","· 可跳过")))</f>
        <v>★★★ 核心</v>
      </c>
      <c r="G30" s="14" t="s">
        <v>1071</v>
      </c>
      <c r="H30" s="9" t="s">
        <v>1072</v>
      </c>
      <c r="I30" s="43" t="str">
        <f aca="false">$F$13</f>
        <v>supply-chain-mapper · demand-decoder(P2) · supply-decoder(P3) · chokepoint-screener · industry-tam-research</v>
      </c>
      <c r="J30" s="44" t="str">
        <f aca="false">$G$13</f>
        <v>Comein / iFind / 行业协会</v>
      </c>
      <c r="K30" s="44" t="str">
        <f aca="false">$E$13</f>
        <v>链条稳定期，边际信息为零</v>
      </c>
    </row>
    <row r="31" customFormat="false" ht="21.75" hidden="false" customHeight="true" outlineLevel="0" collapsed="false">
      <c r="A31" s="5"/>
      <c r="B31" s="5"/>
      <c r="C31" s="5"/>
      <c r="D31" s="5"/>
      <c r="E31" s="5"/>
      <c r="F31" s="5"/>
      <c r="G31" s="14" t="s">
        <v>1073</v>
      </c>
      <c r="H31" s="15" t="s">
        <v>1074</v>
      </c>
      <c r="I31" s="43"/>
      <c r="J31" s="43"/>
      <c r="K31" s="43"/>
    </row>
    <row r="32" customFormat="false" ht="21.75" hidden="false" customHeight="true" outlineLevel="0" collapsed="false">
      <c r="A32" s="5"/>
      <c r="B32" s="5"/>
      <c r="C32" s="5"/>
      <c r="D32" s="5"/>
      <c r="E32" s="5"/>
      <c r="F32" s="5"/>
      <c r="G32" s="14" t="s">
        <v>1075</v>
      </c>
      <c r="H32" s="9" t="s">
        <v>1076</v>
      </c>
      <c r="I32" s="43"/>
      <c r="J32" s="43"/>
      <c r="K32" s="43"/>
    </row>
    <row r="33" customFormat="false" ht="21.75" hidden="false" customHeight="true" outlineLevel="0" collapsed="false">
      <c r="A33" s="5"/>
      <c r="B33" s="5"/>
      <c r="C33" s="5"/>
      <c r="D33" s="5"/>
      <c r="E33" s="5"/>
      <c r="F33" s="5"/>
      <c r="G33" s="14" t="s">
        <v>1077</v>
      </c>
      <c r="H33" s="9" t="s">
        <v>1078</v>
      </c>
      <c r="I33" s="43"/>
      <c r="J33" s="43"/>
      <c r="K33" s="43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  <c r="G34" s="14" t="s">
        <v>1079</v>
      </c>
      <c r="H34" s="9" t="s">
        <v>1080</v>
      </c>
      <c r="I34" s="43"/>
      <c r="J34" s="43"/>
      <c r="K34" s="43"/>
    </row>
    <row r="35" customFormat="false" ht="21.75" hidden="false" customHeight="true" outlineLevel="0" collapsed="false">
      <c r="A35" s="5" t="s">
        <v>11</v>
      </c>
      <c r="B35" s="29" t="s">
        <v>995</v>
      </c>
      <c r="C35" s="40" t="s">
        <v>996</v>
      </c>
      <c r="D35" s="30" t="s">
        <v>969</v>
      </c>
      <c r="E35" s="41" t="n">
        <f aca="false">K14</f>
        <v>21</v>
      </c>
      <c r="F35" s="42" t="str">
        <f aca="false">IF(E35&gt;=10,"★★★ 核心",IF(E35&gt;=5,"★★ 辅助",IF(E35&gt;=2,"★ 补充","· 可跳过")))</f>
        <v>★★★ 核心</v>
      </c>
      <c r="G35" s="14" t="s">
        <v>1081</v>
      </c>
      <c r="H35" s="9" t="s">
        <v>1082</v>
      </c>
      <c r="I35" s="43" t="str">
        <f aca="false">$F$14</f>
        <v>buyside-model-builder · product-qp-modeler · qpm-bmb-link · equity-onepager-interactive</v>
      </c>
      <c r="J35" s="44" t="str">
        <f aca="false">$G$14</f>
        <v>iFind / EDGAR / 进门API</v>
      </c>
      <c r="K35" s="44" t="str">
        <f aca="false">$E$14</f>
        <v>商业模式被技术颠覆时</v>
      </c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  <c r="G36" s="14" t="s">
        <v>1083</v>
      </c>
      <c r="H36" s="15" t="s">
        <v>1084</v>
      </c>
      <c r="I36" s="43"/>
      <c r="J36" s="43"/>
      <c r="K36" s="43"/>
    </row>
    <row r="37" customFormat="false" ht="21.75" hidden="false" customHeight="true" outlineLevel="0" collapsed="false">
      <c r="A37" s="5"/>
      <c r="B37" s="5"/>
      <c r="C37" s="5"/>
      <c r="D37" s="5"/>
      <c r="E37" s="5"/>
      <c r="F37" s="5"/>
      <c r="G37" s="14" t="s">
        <v>1085</v>
      </c>
      <c r="H37" s="9" t="s">
        <v>1086</v>
      </c>
      <c r="I37" s="43"/>
      <c r="J37" s="43"/>
      <c r="K37" s="43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  <c r="G38" s="14" t="s">
        <v>1087</v>
      </c>
      <c r="H38" s="9" t="s">
        <v>1088</v>
      </c>
      <c r="I38" s="43"/>
      <c r="J38" s="43"/>
      <c r="K38" s="43"/>
    </row>
    <row r="39" customFormat="false" ht="21.75" hidden="false" customHeight="true" outlineLevel="0" collapsed="false">
      <c r="A39" s="5"/>
      <c r="B39" s="5"/>
      <c r="C39" s="5"/>
      <c r="D39" s="5"/>
      <c r="E39" s="5"/>
      <c r="F39" s="5"/>
      <c r="G39" s="14" t="s">
        <v>1089</v>
      </c>
      <c r="H39" s="9" t="s">
        <v>1090</v>
      </c>
      <c r="I39" s="43"/>
      <c r="J39" s="43"/>
      <c r="K39" s="43"/>
    </row>
    <row r="40" customFormat="false" ht="21.75" hidden="false" customHeight="true" outlineLevel="0" collapsed="false">
      <c r="A40" s="5" t="s">
        <v>11</v>
      </c>
      <c r="B40" s="29" t="s">
        <v>1001</v>
      </c>
      <c r="C40" s="40" t="s">
        <v>1002</v>
      </c>
      <c r="D40" s="30" t="s">
        <v>969</v>
      </c>
      <c r="E40" s="41" t="n">
        <f aca="false">K15</f>
        <v>17.5</v>
      </c>
      <c r="F40" s="42" t="str">
        <f aca="false">IF(E40&gt;=10,"★★★ 核心",IF(E40&gt;=5,"★★ 辅助",IF(E40&gt;=2,"★ 补充","· 可跳过")))</f>
        <v>★★★ 核心</v>
      </c>
      <c r="G40" s="14" t="s">
        <v>1091</v>
      </c>
      <c r="H40" s="9" t="s">
        <v>1092</v>
      </c>
      <c r="I40" s="43" t="str">
        <f aca="false">$F$15</f>
        <v>tech-species-primer(P0)</v>
      </c>
      <c r="J40" s="44" t="str">
        <f aca="false">$G$15</f>
        <v>论文 / 专利 / 技术白皮书</v>
      </c>
      <c r="K40" s="44" t="str">
        <f aca="false">$E$15</f>
        <v>技术已成熟固化</v>
      </c>
    </row>
    <row r="41" customFormat="false" ht="21.75" hidden="false" customHeight="true" outlineLevel="0" collapsed="false">
      <c r="A41" s="5"/>
      <c r="B41" s="5"/>
      <c r="C41" s="5"/>
      <c r="D41" s="5"/>
      <c r="E41" s="5"/>
      <c r="F41" s="5"/>
      <c r="G41" s="14" t="s">
        <v>1093</v>
      </c>
      <c r="H41" s="9" t="s">
        <v>1094</v>
      </c>
      <c r="I41" s="43"/>
      <c r="J41" s="43"/>
      <c r="K41" s="43"/>
    </row>
    <row r="42" customFormat="false" ht="21.75" hidden="false" customHeight="true" outlineLevel="0" collapsed="false">
      <c r="A42" s="5"/>
      <c r="B42" s="5"/>
      <c r="C42" s="5"/>
      <c r="D42" s="5"/>
      <c r="E42" s="5"/>
      <c r="F42" s="5"/>
      <c r="G42" s="14" t="s">
        <v>1095</v>
      </c>
      <c r="H42" s="9" t="s">
        <v>1096</v>
      </c>
      <c r="I42" s="43"/>
      <c r="J42" s="43"/>
      <c r="K42" s="43"/>
    </row>
    <row r="43" customFormat="false" ht="21.75" hidden="false" customHeight="true" outlineLevel="0" collapsed="false">
      <c r="A43" s="5"/>
      <c r="B43" s="5"/>
      <c r="C43" s="5"/>
      <c r="D43" s="5"/>
      <c r="E43" s="5"/>
      <c r="F43" s="5"/>
      <c r="G43" s="14" t="s">
        <v>1097</v>
      </c>
      <c r="H43" s="9" t="s">
        <v>1098</v>
      </c>
      <c r="I43" s="43"/>
      <c r="J43" s="43"/>
      <c r="K43" s="43"/>
    </row>
    <row r="44" customFormat="false" ht="21.75" hidden="false" customHeight="true" outlineLevel="0" collapsed="false">
      <c r="A44" s="5"/>
      <c r="B44" s="5"/>
      <c r="C44" s="5"/>
      <c r="D44" s="5"/>
      <c r="E44" s="5"/>
      <c r="F44" s="5"/>
      <c r="G44" s="14" t="s">
        <v>1099</v>
      </c>
      <c r="H44" s="9" t="s">
        <v>1100</v>
      </c>
      <c r="I44" s="43"/>
      <c r="J44" s="43"/>
      <c r="K44" s="43"/>
    </row>
    <row r="45" customFormat="false" ht="21.75" hidden="false" customHeight="true" outlineLevel="0" collapsed="false">
      <c r="A45" s="5" t="s">
        <v>11</v>
      </c>
      <c r="B45" s="29" t="s">
        <v>1007</v>
      </c>
      <c r="C45" s="40" t="s">
        <v>1008</v>
      </c>
      <c r="D45" s="30" t="s">
        <v>969</v>
      </c>
      <c r="E45" s="41" t="n">
        <f aca="false">K16</f>
        <v>3.5</v>
      </c>
      <c r="F45" s="42" t="str">
        <f aca="false">IF(E45&gt;=10,"★★★ 核心",IF(E45&gt;=5,"★★ 辅助",IF(E45&gt;=2,"★ 补充","· 可跳过")))</f>
        <v>★ 补充</v>
      </c>
      <c r="G45" s="14" t="s">
        <v>1101</v>
      </c>
      <c r="H45" s="9" t="s">
        <v>1102</v>
      </c>
      <c r="I45" s="43" t="str">
        <f aca="false">$F$16</f>
        <v>research-digest · insight-auto-collector · pm-intelligence-router</v>
      </c>
      <c r="J45" s="44" t="str">
        <f aca="false">$G$16</f>
        <v>Comein专家call / 经销商 / 替代数据</v>
      </c>
      <c r="K45" s="44" t="str">
        <f aca="false">$E$16</f>
        <v>样本偏差、专家被喂话</v>
      </c>
    </row>
    <row r="46" customFormat="false" ht="21.75" hidden="false" customHeight="true" outlineLevel="0" collapsed="false">
      <c r="A46" s="5"/>
      <c r="B46" s="5"/>
      <c r="C46" s="5"/>
      <c r="D46" s="5"/>
      <c r="E46" s="5"/>
      <c r="F46" s="5"/>
      <c r="G46" s="14" t="s">
        <v>1103</v>
      </c>
      <c r="H46" s="9" t="s">
        <v>1104</v>
      </c>
      <c r="I46" s="43"/>
      <c r="J46" s="43"/>
      <c r="K46" s="43"/>
    </row>
    <row r="47" customFormat="false" ht="21.75" hidden="false" customHeight="true" outlineLevel="0" collapsed="false">
      <c r="A47" s="5"/>
      <c r="B47" s="5"/>
      <c r="C47" s="5"/>
      <c r="D47" s="5"/>
      <c r="E47" s="5"/>
      <c r="F47" s="5"/>
      <c r="G47" s="14" t="s">
        <v>1105</v>
      </c>
      <c r="H47" s="9" t="s">
        <v>1106</v>
      </c>
      <c r="I47" s="43"/>
      <c r="J47" s="43"/>
      <c r="K47" s="43"/>
    </row>
    <row r="48" customFormat="false" ht="21.75" hidden="false" customHeight="true" outlineLevel="0" collapsed="false">
      <c r="A48" s="5"/>
      <c r="B48" s="5"/>
      <c r="C48" s="5"/>
      <c r="D48" s="5"/>
      <c r="E48" s="5"/>
      <c r="F48" s="5"/>
      <c r="G48" s="14" t="s">
        <v>1107</v>
      </c>
      <c r="H48" s="9" t="s">
        <v>1108</v>
      </c>
      <c r="I48" s="43"/>
      <c r="J48" s="43"/>
      <c r="K48" s="43"/>
    </row>
    <row r="49" customFormat="false" ht="21.75" hidden="false" customHeight="true" outlineLevel="0" collapsed="false">
      <c r="A49" s="5"/>
      <c r="B49" s="5"/>
      <c r="C49" s="5"/>
      <c r="D49" s="5"/>
      <c r="E49" s="5"/>
      <c r="F49" s="5"/>
      <c r="G49" s="14" t="s">
        <v>1109</v>
      </c>
      <c r="H49" s="9" t="s">
        <v>1110</v>
      </c>
      <c r="I49" s="43"/>
      <c r="J49" s="43"/>
      <c r="K49" s="43"/>
    </row>
    <row r="50" customFormat="false" ht="21.75" hidden="false" customHeight="true" outlineLevel="0" collapsed="false">
      <c r="A50" s="5" t="s">
        <v>11</v>
      </c>
      <c r="B50" s="29" t="s">
        <v>1013</v>
      </c>
      <c r="C50" s="40" t="s">
        <v>1014</v>
      </c>
      <c r="D50" s="30" t="s">
        <v>969</v>
      </c>
      <c r="E50" s="41" t="n">
        <f aca="false">K17</f>
        <v>14</v>
      </c>
      <c r="F50" s="42" t="str">
        <f aca="false">IF(E50&gt;=10,"★★★ 核心",IF(E50&gt;=5,"★★ 辅助",IF(E50&gt;=2,"★ 补充","· 可跳过")))</f>
        <v>★★★ 核心</v>
      </c>
      <c r="G50" s="14" t="s">
        <v>1111</v>
      </c>
      <c r="H50" s="9" t="s">
        <v>1112</v>
      </c>
      <c r="I50" s="43" t="str">
        <f aca="false">$F$17</f>
        <v>dd-fast-qcc</v>
      </c>
      <c r="J50" s="44" t="str">
        <f aca="false">$G$17</f>
        <v>企查查QCC / 公告</v>
      </c>
      <c r="K50" s="44" t="str">
        <f aca="false">$E$17</f>
        <v>分散股权的成熟公司</v>
      </c>
    </row>
    <row r="51" customFormat="false" ht="21.75" hidden="false" customHeight="true" outlineLevel="0" collapsed="false">
      <c r="A51" s="5"/>
      <c r="B51" s="5"/>
      <c r="C51" s="5"/>
      <c r="D51" s="5"/>
      <c r="E51" s="5"/>
      <c r="F51" s="5"/>
      <c r="G51" s="14" t="s">
        <v>1113</v>
      </c>
      <c r="H51" s="9" t="s">
        <v>1114</v>
      </c>
      <c r="I51" s="43"/>
      <c r="J51" s="43"/>
      <c r="K51" s="43"/>
    </row>
    <row r="52" customFormat="false" ht="21.75" hidden="false" customHeight="true" outlineLevel="0" collapsed="false">
      <c r="A52" s="5"/>
      <c r="B52" s="5"/>
      <c r="C52" s="5"/>
      <c r="D52" s="5"/>
      <c r="E52" s="5"/>
      <c r="F52" s="5"/>
      <c r="G52" s="14" t="s">
        <v>1115</v>
      </c>
      <c r="H52" s="9" t="s">
        <v>1116</v>
      </c>
      <c r="I52" s="43"/>
      <c r="J52" s="43"/>
      <c r="K52" s="43"/>
    </row>
    <row r="53" customFormat="false" ht="21.75" hidden="false" customHeight="true" outlineLevel="0" collapsed="false">
      <c r="A53" s="5"/>
      <c r="B53" s="5"/>
      <c r="C53" s="5"/>
      <c r="D53" s="5"/>
      <c r="E53" s="5"/>
      <c r="F53" s="5"/>
      <c r="G53" s="14" t="s">
        <v>1117</v>
      </c>
      <c r="H53" s="9" t="s">
        <v>1118</v>
      </c>
      <c r="I53" s="43"/>
      <c r="J53" s="43"/>
      <c r="K53" s="43"/>
    </row>
    <row r="54" customFormat="false" ht="21.75" hidden="false" customHeight="true" outlineLevel="0" collapsed="false">
      <c r="A54" s="5"/>
      <c r="B54" s="5"/>
      <c r="C54" s="5"/>
      <c r="D54" s="5"/>
      <c r="E54" s="5"/>
      <c r="F54" s="5"/>
      <c r="G54" s="14" t="s">
        <v>1119</v>
      </c>
      <c r="H54" s="9" t="s">
        <v>1120</v>
      </c>
      <c r="I54" s="43"/>
      <c r="J54" s="43"/>
      <c r="K54" s="43"/>
    </row>
    <row r="55" customFormat="false" ht="21.75" hidden="false" customHeight="true" outlineLevel="0" collapsed="false">
      <c r="A55" s="5" t="s">
        <v>11</v>
      </c>
      <c r="B55" s="29" t="s">
        <v>1019</v>
      </c>
      <c r="C55" s="40" t="s">
        <v>1020</v>
      </c>
      <c r="D55" s="30" t="s">
        <v>971</v>
      </c>
      <c r="E55" s="41" t="n">
        <f aca="false">K18</f>
        <v>10</v>
      </c>
      <c r="F55" s="42" t="str">
        <f aca="false">IF(E55&gt;=10,"★★★ 核心",IF(E55&gt;=5,"★★ 辅助",IF(E55&gt;=2,"★ 补充","· 可跳过")))</f>
        <v>★★★ 核心</v>
      </c>
      <c r="G55" s="14" t="s">
        <v>1121</v>
      </c>
      <c r="H55" s="9" t="s">
        <v>1122</v>
      </c>
      <c r="I55" s="43" t="str">
        <f aca="false">$F$18</f>
        <v>valuation-paradigm-decoder · sotp-baseline</v>
      </c>
      <c r="J55" s="44" t="str">
        <f aca="false">$G$18</f>
        <v>iFind市值 + AlphaPai</v>
      </c>
      <c r="K55" s="44" t="str">
        <f aca="false">$E$18</f>
        <v>无锚标的（亏损+故事股）</v>
      </c>
    </row>
    <row r="56" customFormat="false" ht="21.75" hidden="false" customHeight="true" outlineLevel="0" collapsed="false">
      <c r="A56" s="5"/>
      <c r="B56" s="5"/>
      <c r="C56" s="5"/>
      <c r="D56" s="5"/>
      <c r="E56" s="5"/>
      <c r="F56" s="5"/>
      <c r="G56" s="14" t="s">
        <v>1123</v>
      </c>
      <c r="H56" s="9" t="s">
        <v>1124</v>
      </c>
      <c r="I56" s="43"/>
      <c r="J56" s="43"/>
      <c r="K56" s="43"/>
    </row>
    <row r="57" customFormat="false" ht="21.75" hidden="false" customHeight="true" outlineLevel="0" collapsed="false">
      <c r="A57" s="5"/>
      <c r="B57" s="5"/>
      <c r="C57" s="5"/>
      <c r="D57" s="5"/>
      <c r="E57" s="5"/>
      <c r="F57" s="5"/>
      <c r="G57" s="14" t="s">
        <v>1125</v>
      </c>
      <c r="H57" s="9" t="s">
        <v>1126</v>
      </c>
      <c r="I57" s="43"/>
      <c r="J57" s="43"/>
      <c r="K57" s="43"/>
    </row>
    <row r="58" customFormat="false" ht="21.75" hidden="false" customHeight="true" outlineLevel="0" collapsed="false">
      <c r="A58" s="5"/>
      <c r="B58" s="5"/>
      <c r="C58" s="5"/>
      <c r="D58" s="5"/>
      <c r="E58" s="5"/>
      <c r="F58" s="5"/>
      <c r="G58" s="14" t="s">
        <v>1127</v>
      </c>
      <c r="H58" s="9" t="s">
        <v>1128</v>
      </c>
      <c r="I58" s="43"/>
      <c r="J58" s="43"/>
      <c r="K58" s="43"/>
    </row>
    <row r="59" customFormat="false" ht="21.75" hidden="false" customHeight="true" outlineLevel="0" collapsed="false">
      <c r="A59" s="5"/>
      <c r="B59" s="5"/>
      <c r="C59" s="5"/>
      <c r="D59" s="5"/>
      <c r="E59" s="5"/>
      <c r="F59" s="5"/>
      <c r="G59" s="14" t="s">
        <v>1129</v>
      </c>
      <c r="H59" s="9" t="s">
        <v>1130</v>
      </c>
      <c r="I59" s="43"/>
      <c r="J59" s="43"/>
      <c r="K59" s="43"/>
    </row>
    <row r="60" customFormat="false" ht="21.75" hidden="false" customHeight="true" outlineLevel="0" collapsed="false">
      <c r="A60" s="5" t="s">
        <v>11</v>
      </c>
      <c r="B60" s="29" t="s">
        <v>1025</v>
      </c>
      <c r="C60" s="40" t="s">
        <v>1026</v>
      </c>
      <c r="D60" s="30" t="s">
        <v>971</v>
      </c>
      <c r="E60" s="41" t="n">
        <f aca="false">K19</f>
        <v>3</v>
      </c>
      <c r="F60" s="42" t="str">
        <f aca="false">IF(E60&gt;=10,"★★★ 核心",IF(E60&gt;=5,"★★ 辅助",IF(E60&gt;=2,"★ 补充","· 可跳过")))</f>
        <v>★ 补充</v>
      </c>
      <c r="G60" s="14" t="s">
        <v>1131</v>
      </c>
      <c r="H60" s="9" t="s">
        <v>1132</v>
      </c>
      <c r="I60" s="43" t="str">
        <f aca="false">$F$19</f>
        <v>sotp-baseline(S5+) · sellside-model-decoder · equity-onepager-interactive</v>
      </c>
      <c r="J60" s="44" t="str">
        <f aca="false">$G$19</f>
        <v>FMP / AlphaPai / Comein</v>
      </c>
      <c r="K60" s="44" t="str">
        <f aca="false">$E$19</f>
        <v>覆盖少于3家</v>
      </c>
    </row>
    <row r="61" customFormat="false" ht="21.75" hidden="false" customHeight="true" outlineLevel="0" collapsed="false">
      <c r="A61" s="5"/>
      <c r="B61" s="5"/>
      <c r="C61" s="5"/>
      <c r="D61" s="5"/>
      <c r="E61" s="5"/>
      <c r="F61" s="5"/>
      <c r="G61" s="14" t="s">
        <v>1133</v>
      </c>
      <c r="H61" s="9" t="s">
        <v>1134</v>
      </c>
      <c r="I61" s="43"/>
      <c r="J61" s="43"/>
      <c r="K61" s="43"/>
    </row>
    <row r="62" customFormat="false" ht="21.75" hidden="false" customHeight="true" outlineLevel="0" collapsed="false">
      <c r="A62" s="5"/>
      <c r="B62" s="5"/>
      <c r="C62" s="5"/>
      <c r="D62" s="5"/>
      <c r="E62" s="5"/>
      <c r="F62" s="5"/>
      <c r="G62" s="14" t="s">
        <v>1135</v>
      </c>
      <c r="H62" s="9" t="s">
        <v>1136</v>
      </c>
      <c r="I62" s="43"/>
      <c r="J62" s="43"/>
      <c r="K62" s="43"/>
    </row>
    <row r="63" customFormat="false" ht="21.75" hidden="false" customHeight="true" outlineLevel="0" collapsed="false">
      <c r="A63" s="5"/>
      <c r="B63" s="5"/>
      <c r="C63" s="5"/>
      <c r="D63" s="5"/>
      <c r="E63" s="5"/>
      <c r="F63" s="5"/>
      <c r="G63" s="14" t="s">
        <v>1137</v>
      </c>
      <c r="H63" s="9" t="s">
        <v>1138</v>
      </c>
      <c r="I63" s="43"/>
      <c r="J63" s="43"/>
      <c r="K63" s="43"/>
    </row>
    <row r="64" customFormat="false" ht="21.75" hidden="false" customHeight="true" outlineLevel="0" collapsed="false">
      <c r="A64" s="5"/>
      <c r="B64" s="5"/>
      <c r="C64" s="5"/>
      <c r="D64" s="5"/>
      <c r="E64" s="5"/>
      <c r="F64" s="5"/>
      <c r="G64" s="14" t="s">
        <v>1139</v>
      </c>
      <c r="H64" s="9" t="s">
        <v>1140</v>
      </c>
      <c r="I64" s="43"/>
      <c r="J64" s="43"/>
      <c r="K64" s="43"/>
    </row>
    <row r="65" customFormat="false" ht="21.75" hidden="false" customHeight="true" outlineLevel="0" collapsed="false">
      <c r="A65" s="5" t="s">
        <v>11</v>
      </c>
      <c r="B65" s="29" t="s">
        <v>1031</v>
      </c>
      <c r="C65" s="40" t="s">
        <v>1032</v>
      </c>
      <c r="D65" s="30" t="s">
        <v>971</v>
      </c>
      <c r="E65" s="41" t="n">
        <f aca="false">K20</f>
        <v>6</v>
      </c>
      <c r="F65" s="42" t="str">
        <f aca="false">IF(E65&gt;=10,"★★★ 核心",IF(E65&gt;=5,"★★ 辅助",IF(E65&gt;=2,"★ 补充","· 可跳过")))</f>
        <v>★★ 辅助</v>
      </c>
      <c r="G65" s="14" t="s">
        <v>1141</v>
      </c>
      <c r="H65" s="9" t="s">
        <v>1142</v>
      </c>
      <c r="I65" s="43" t="str">
        <f aca="false">$F$20</f>
        <v>digital-oracle(narrative scan) · macro-global-monthly</v>
      </c>
      <c r="J65" s="44" t="str">
        <f aca="false">$G$20</f>
        <v>舆情 / Polymarket / 资产价格</v>
      </c>
      <c r="K65" s="44" t="str">
        <f aca="false">$E$20</f>
        <v>无叙事的价值股</v>
      </c>
    </row>
    <row r="66" customFormat="false" ht="21.75" hidden="false" customHeight="true" outlineLevel="0" collapsed="false">
      <c r="A66" s="5"/>
      <c r="B66" s="5"/>
      <c r="C66" s="5"/>
      <c r="D66" s="5"/>
      <c r="E66" s="5"/>
      <c r="F66" s="5"/>
      <c r="G66" s="14" t="s">
        <v>1143</v>
      </c>
      <c r="H66" s="9" t="s">
        <v>1144</v>
      </c>
      <c r="I66" s="43"/>
      <c r="J66" s="43"/>
      <c r="K66" s="43"/>
    </row>
    <row r="67" customFormat="false" ht="21.75" hidden="false" customHeight="true" outlineLevel="0" collapsed="false">
      <c r="A67" s="5"/>
      <c r="B67" s="5"/>
      <c r="C67" s="5"/>
      <c r="D67" s="5"/>
      <c r="E67" s="5"/>
      <c r="F67" s="5"/>
      <c r="G67" s="14" t="s">
        <v>1145</v>
      </c>
      <c r="H67" s="9" t="s">
        <v>1146</v>
      </c>
      <c r="I67" s="43"/>
      <c r="J67" s="43"/>
      <c r="K67" s="43"/>
    </row>
    <row r="68" customFormat="false" ht="21.75" hidden="false" customHeight="true" outlineLevel="0" collapsed="false">
      <c r="A68" s="5"/>
      <c r="B68" s="5"/>
      <c r="C68" s="5"/>
      <c r="D68" s="5"/>
      <c r="E68" s="5"/>
      <c r="F68" s="5"/>
      <c r="G68" s="14" t="s">
        <v>1147</v>
      </c>
      <c r="H68" s="9" t="s">
        <v>1148</v>
      </c>
      <c r="I68" s="43"/>
      <c r="J68" s="43"/>
      <c r="K68" s="43"/>
    </row>
    <row r="69" customFormat="false" ht="21.75" hidden="false" customHeight="true" outlineLevel="0" collapsed="false">
      <c r="A69" s="5"/>
      <c r="B69" s="5"/>
      <c r="C69" s="5"/>
      <c r="D69" s="5"/>
      <c r="E69" s="5"/>
      <c r="F69" s="5"/>
      <c r="G69" s="14" t="s">
        <v>1149</v>
      </c>
      <c r="H69" s="9" t="s">
        <v>1150</v>
      </c>
      <c r="I69" s="43"/>
      <c r="J69" s="43"/>
      <c r="K69" s="43"/>
    </row>
    <row r="70" customFormat="false" ht="21.75" hidden="false" customHeight="true" outlineLevel="0" collapsed="false">
      <c r="A70" s="5" t="s">
        <v>11</v>
      </c>
      <c r="B70" s="29" t="s">
        <v>1037</v>
      </c>
      <c r="C70" s="40" t="s">
        <v>1038</v>
      </c>
      <c r="D70" s="30" t="s">
        <v>971</v>
      </c>
      <c r="E70" s="41" t="n">
        <f aca="false">K21</f>
        <v>1</v>
      </c>
      <c r="F70" s="42" t="str">
        <f aca="false">IF(E70&gt;=10,"★★★ 核心",IF(E70&gt;=5,"★★ 辅助",IF(E70&gt;=2,"★ 补充","· 可跳过")))</f>
        <v>· 可跳过</v>
      </c>
      <c r="G70" s="14" t="s">
        <v>1151</v>
      </c>
      <c r="H70" s="9" t="s">
        <v>1152</v>
      </c>
      <c r="I70" s="43" t="str">
        <f aca="false">$F$21</f>
        <v>equity-onepager-interactive(筹码龄) · digital-oracle · kline-reviewer</v>
      </c>
      <c r="J70" s="44" t="str">
        <f aca="false">$G$21</f>
        <v>iFind筹码 / 同花顺 / 龙虎榜</v>
      </c>
      <c r="K70" s="44" t="str">
        <f aca="false">$E$21</f>
        <v>流动性极差标的</v>
      </c>
    </row>
    <row r="71" customFormat="false" ht="21.75" hidden="false" customHeight="true" outlineLevel="0" collapsed="false">
      <c r="A71" s="5"/>
      <c r="B71" s="5"/>
      <c r="C71" s="5"/>
      <c r="D71" s="5"/>
      <c r="E71" s="5"/>
      <c r="F71" s="5"/>
      <c r="G71" s="14" t="s">
        <v>1153</v>
      </c>
      <c r="H71" s="9" t="s">
        <v>1154</v>
      </c>
      <c r="I71" s="43"/>
      <c r="J71" s="43"/>
      <c r="K71" s="43"/>
    </row>
    <row r="72" customFormat="false" ht="21.75" hidden="false" customHeight="true" outlineLevel="0" collapsed="false">
      <c r="A72" s="5"/>
      <c r="B72" s="5"/>
      <c r="C72" s="5"/>
      <c r="D72" s="5"/>
      <c r="E72" s="5"/>
      <c r="F72" s="5"/>
      <c r="G72" s="14" t="s">
        <v>1155</v>
      </c>
      <c r="H72" s="9" t="s">
        <v>1156</v>
      </c>
      <c r="I72" s="43"/>
      <c r="J72" s="43"/>
      <c r="K72" s="43"/>
    </row>
    <row r="73" customFormat="false" ht="21.75" hidden="false" customHeight="true" outlineLevel="0" collapsed="false">
      <c r="A73" s="5"/>
      <c r="B73" s="5"/>
      <c r="C73" s="5"/>
      <c r="D73" s="5"/>
      <c r="E73" s="5"/>
      <c r="F73" s="5"/>
      <c r="G73" s="14" t="s">
        <v>1157</v>
      </c>
      <c r="H73" s="9" t="s">
        <v>1158</v>
      </c>
      <c r="I73" s="43"/>
      <c r="J73" s="43"/>
      <c r="K73" s="43"/>
    </row>
    <row r="74" customFormat="false" ht="21.75" hidden="false" customHeight="true" outlineLevel="0" collapsed="false">
      <c r="A74" s="5"/>
      <c r="B74" s="5"/>
      <c r="C74" s="5"/>
      <c r="D74" s="5"/>
      <c r="E74" s="5"/>
      <c r="F74" s="5"/>
      <c r="G74" s="14" t="s">
        <v>1159</v>
      </c>
      <c r="H74" s="9" t="s">
        <v>1160</v>
      </c>
      <c r="I74" s="43"/>
      <c r="J74" s="43"/>
      <c r="K74" s="43"/>
    </row>
    <row r="75" customFormat="false" ht="21.75" hidden="false" customHeight="true" outlineLevel="0" collapsed="false">
      <c r="A75" s="5" t="s">
        <v>11</v>
      </c>
      <c r="B75" s="29" t="s">
        <v>1043</v>
      </c>
      <c r="C75" s="40" t="s">
        <v>1161</v>
      </c>
      <c r="D75" s="30" t="s">
        <v>973</v>
      </c>
      <c r="E75" s="41" t="n">
        <f aca="false">K22</f>
        <v>5</v>
      </c>
      <c r="F75" s="42" t="str">
        <f aca="false">IF(E75&gt;=10,"★★★ 核心",IF(E75&gt;=5,"★★ 辅助",IF(E75&gt;=2,"★ 补充","· 可跳过")))</f>
        <v>★★ 辅助</v>
      </c>
      <c r="G75" s="14" t="s">
        <v>1162</v>
      </c>
      <c r="H75" s="9" t="s">
        <v>1163</v>
      </c>
      <c r="I75" s="43" t="str">
        <f aca="false">$F$22</f>
        <v>stock-catalyst-review · digital-oracle(历史类比) · alt-conviction-builder</v>
      </c>
      <c r="J75" s="44" t="str">
        <f aca="false">$G$22</f>
        <v>历史价格 / IBKR / AKShare</v>
      </c>
      <c r="K75" s="44" t="str">
        <f aca="false">$E$22</f>
        <v>Regime切换后样本失效</v>
      </c>
    </row>
    <row r="76" customFormat="false" ht="21.75" hidden="false" customHeight="true" outlineLevel="0" collapsed="false">
      <c r="A76" s="5"/>
      <c r="B76" s="5"/>
      <c r="C76" s="5"/>
      <c r="D76" s="5"/>
      <c r="E76" s="5"/>
      <c r="F76" s="5"/>
      <c r="G76" s="14" t="s">
        <v>1164</v>
      </c>
      <c r="H76" s="9" t="s">
        <v>1165</v>
      </c>
      <c r="I76" s="43"/>
      <c r="J76" s="43"/>
      <c r="K76" s="43"/>
    </row>
    <row r="77" customFormat="false" ht="21.75" hidden="false" customHeight="true" outlineLevel="0" collapsed="false">
      <c r="A77" s="5"/>
      <c r="B77" s="5"/>
      <c r="C77" s="5"/>
      <c r="D77" s="5"/>
      <c r="E77" s="5"/>
      <c r="F77" s="5"/>
      <c r="G77" s="14" t="s">
        <v>1166</v>
      </c>
      <c r="H77" s="9" t="s">
        <v>1167</v>
      </c>
      <c r="I77" s="43"/>
      <c r="J77" s="43"/>
      <c r="K77" s="43"/>
    </row>
    <row r="78" customFormat="false" ht="21.75" hidden="false" customHeight="true" outlineLevel="0" collapsed="false">
      <c r="A78" s="5"/>
      <c r="B78" s="5"/>
      <c r="C78" s="5"/>
      <c r="D78" s="5"/>
      <c r="E78" s="5"/>
      <c r="F78" s="5"/>
      <c r="G78" s="14" t="s">
        <v>1168</v>
      </c>
      <c r="H78" s="9" t="s">
        <v>1169</v>
      </c>
      <c r="I78" s="43"/>
      <c r="J78" s="43"/>
      <c r="K78" s="43"/>
    </row>
    <row r="79" customFormat="false" ht="21.75" hidden="false" customHeight="true" outlineLevel="0" collapsed="false">
      <c r="A79" s="5"/>
      <c r="B79" s="5"/>
      <c r="C79" s="5"/>
      <c r="D79" s="5"/>
      <c r="E79" s="5"/>
      <c r="F79" s="5"/>
      <c r="G79" s="14" t="s">
        <v>1170</v>
      </c>
      <c r="H79" s="9" t="s">
        <v>1171</v>
      </c>
      <c r="I79" s="43"/>
      <c r="J79" s="43"/>
      <c r="K79" s="43"/>
    </row>
    <row r="80" customFormat="false" ht="21.75" hidden="false" customHeight="true" outlineLevel="0" collapsed="false">
      <c r="A80" s="5" t="s">
        <v>11</v>
      </c>
      <c r="B80" s="29" t="s">
        <v>1049</v>
      </c>
      <c r="C80" s="40" t="s">
        <v>1050</v>
      </c>
      <c r="D80" s="30" t="s">
        <v>973</v>
      </c>
      <c r="E80" s="41" t="n">
        <f aca="false">K23</f>
        <v>3</v>
      </c>
      <c r="F80" s="42" t="str">
        <f aca="false">IF(E80&gt;=10,"★★★ 核心",IF(E80&gt;=5,"★★ 辅助",IF(E80&gt;=2,"★ 补充","· 可跳过")))</f>
        <v>★ 补充</v>
      </c>
      <c r="G80" s="14" t="s">
        <v>1172</v>
      </c>
      <c r="H80" s="9" t="s">
        <v>1173</v>
      </c>
      <c r="I80" s="43" t="str">
        <f aca="false">$F$23</f>
        <v>stock-catalyst-review · catalyst-5m3t-deep-dive · chain-final-analysis(P6)</v>
      </c>
      <c r="J80" s="44" t="str">
        <f aca="false">$G$23</f>
        <v>公司公告 / 招标网 / 政策日历</v>
      </c>
      <c r="K80" s="44" t="str">
        <f aca="false">$E$23</f>
        <v>无事件驱动的慢变量</v>
      </c>
    </row>
    <row r="81" customFormat="false" ht="21.75" hidden="false" customHeight="true" outlineLevel="0" collapsed="false">
      <c r="A81" s="5"/>
      <c r="B81" s="5"/>
      <c r="C81" s="5"/>
      <c r="D81" s="5"/>
      <c r="E81" s="5"/>
      <c r="F81" s="5"/>
      <c r="G81" s="14" t="s">
        <v>1174</v>
      </c>
      <c r="H81" s="9" t="s">
        <v>1175</v>
      </c>
      <c r="I81" s="43"/>
      <c r="J81" s="43"/>
      <c r="K81" s="43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  <c r="G82" s="14" t="s">
        <v>1176</v>
      </c>
      <c r="H82" s="9" t="s">
        <v>1177</v>
      </c>
      <c r="I82" s="43"/>
      <c r="J82" s="43"/>
      <c r="K82" s="43"/>
    </row>
    <row r="83" customFormat="false" ht="21.75" hidden="false" customHeight="true" outlineLevel="0" collapsed="false">
      <c r="A83" s="5"/>
      <c r="B83" s="5"/>
      <c r="C83" s="5"/>
      <c r="D83" s="5"/>
      <c r="E83" s="5"/>
      <c r="F83" s="5"/>
      <c r="G83" s="14" t="s">
        <v>1178</v>
      </c>
      <c r="H83" s="9" t="s">
        <v>1179</v>
      </c>
      <c r="I83" s="43"/>
      <c r="J83" s="43"/>
      <c r="K83" s="43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  <c r="G84" s="14" t="s">
        <v>1180</v>
      </c>
      <c r="H84" s="9" t="s">
        <v>1181</v>
      </c>
      <c r="I84" s="43"/>
      <c r="J84" s="43"/>
      <c r="K84" s="43"/>
    </row>
    <row r="85" customFormat="false" ht="21.75" hidden="false" customHeight="true" outlineLevel="0" collapsed="false">
      <c r="A85" s="5" t="s">
        <v>11</v>
      </c>
      <c r="B85" s="29" t="s">
        <v>1055</v>
      </c>
      <c r="C85" s="40" t="s">
        <v>1182</v>
      </c>
      <c r="D85" s="30" t="s">
        <v>973</v>
      </c>
      <c r="E85" s="41" t="n">
        <f aca="false">K24</f>
        <v>2</v>
      </c>
      <c r="F85" s="42" t="str">
        <f aca="false">IF(E85&gt;=10,"★★★ 核心",IF(E85&gt;=5,"★★ 辅助",IF(E85&gt;=2,"★ 补充","· 可跳过")))</f>
        <v>★ 补充</v>
      </c>
      <c r="G85" s="14" t="s">
        <v>1183</v>
      </c>
      <c r="H85" s="9" t="s">
        <v>1184</v>
      </c>
      <c r="I85" s="43" t="str">
        <f aca="false">$F$24</f>
        <v>alt-conviction-builder · digital-oracle · weekly-stock-review</v>
      </c>
      <c r="J85" s="44" t="str">
        <f aca="false">$G$24</f>
        <v>Yahoo / Binance / 商品期货</v>
      </c>
      <c r="K85" s="44" t="str">
        <f aca="false">$E$24</f>
        <v>相关性历史上不稳定</v>
      </c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  <c r="G86" s="14" t="s">
        <v>1185</v>
      </c>
      <c r="H86" s="9" t="s">
        <v>1186</v>
      </c>
      <c r="I86" s="43"/>
      <c r="J86" s="43"/>
      <c r="K86" s="43"/>
    </row>
    <row r="87" customFormat="false" ht="21.75" hidden="false" customHeight="true" outlineLevel="0" collapsed="false">
      <c r="A87" s="5"/>
      <c r="B87" s="5"/>
      <c r="C87" s="5"/>
      <c r="D87" s="5"/>
      <c r="E87" s="5"/>
      <c r="F87" s="5"/>
      <c r="G87" s="14" t="s">
        <v>1187</v>
      </c>
      <c r="H87" s="9" t="s">
        <v>1188</v>
      </c>
      <c r="I87" s="43"/>
      <c r="J87" s="43"/>
      <c r="K87" s="43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  <c r="G88" s="14" t="s">
        <v>1189</v>
      </c>
      <c r="H88" s="9" t="s">
        <v>1190</v>
      </c>
      <c r="I88" s="43"/>
      <c r="J88" s="43"/>
      <c r="K88" s="43"/>
    </row>
    <row r="89" customFormat="false" ht="21.75" hidden="false" customHeight="true" outlineLevel="0" collapsed="false">
      <c r="A89" s="5"/>
      <c r="B89" s="5"/>
      <c r="C89" s="5"/>
      <c r="D89" s="5"/>
      <c r="E89" s="5"/>
      <c r="F89" s="5"/>
      <c r="G89" s="14" t="s">
        <v>1191</v>
      </c>
      <c r="H89" s="9" t="s">
        <v>1192</v>
      </c>
      <c r="I89" s="43"/>
      <c r="J89" s="43"/>
      <c r="K89" s="43"/>
    </row>
    <row r="90" customFormat="false" ht="21.75" hidden="false" customHeight="true" outlineLevel="0" collapsed="false">
      <c r="A90" s="18" t="s">
        <v>346</v>
      </c>
      <c r="B90" s="29" t="s">
        <v>989</v>
      </c>
      <c r="C90" s="40" t="s">
        <v>1070</v>
      </c>
      <c r="D90" s="30" t="s">
        <v>969</v>
      </c>
      <c r="E90" s="41" t="n">
        <f aca="false">L13</f>
        <v>10</v>
      </c>
      <c r="F90" s="42" t="str">
        <f aca="false">IF(E90&gt;=10,"★★★ 核心",IF(E90&gt;=5,"★★ 辅助",IF(E90&gt;=2,"★ 补充","· 可跳过")))</f>
        <v>★★★ 核心</v>
      </c>
      <c r="G90" s="14" t="s">
        <v>1193</v>
      </c>
      <c r="H90" s="9" t="s">
        <v>1194</v>
      </c>
      <c r="I90" s="43" t="str">
        <f aca="false">$F$13</f>
        <v>supply-chain-mapper · demand-decoder(P2) · supply-decoder(P3) · chokepoint-screener · industry-tam-research</v>
      </c>
      <c r="J90" s="44" t="str">
        <f aca="false">$G$13</f>
        <v>Comein / iFind / 行业协会</v>
      </c>
      <c r="K90" s="44" t="str">
        <f aca="false">$E$13</f>
        <v>链条稳定期，边际信息为零</v>
      </c>
    </row>
    <row r="91" customFormat="false" ht="21.75" hidden="false" customHeight="true" outlineLevel="0" collapsed="false">
      <c r="A91" s="18"/>
      <c r="B91" s="18"/>
      <c r="C91" s="18"/>
      <c r="D91" s="18"/>
      <c r="E91" s="18"/>
      <c r="F91" s="18"/>
      <c r="G91" s="14" t="s">
        <v>1195</v>
      </c>
      <c r="H91" s="9" t="s">
        <v>1196</v>
      </c>
      <c r="I91" s="43"/>
      <c r="J91" s="43"/>
      <c r="K91" s="43"/>
    </row>
    <row r="92" customFormat="false" ht="21.75" hidden="false" customHeight="true" outlineLevel="0" collapsed="false">
      <c r="A92" s="18"/>
      <c r="B92" s="18"/>
      <c r="C92" s="18"/>
      <c r="D92" s="18"/>
      <c r="E92" s="18"/>
      <c r="F92" s="18"/>
      <c r="G92" s="14" t="s">
        <v>1197</v>
      </c>
      <c r="H92" s="9" t="s">
        <v>1198</v>
      </c>
      <c r="I92" s="43"/>
      <c r="J92" s="43"/>
      <c r="K92" s="43"/>
    </row>
    <row r="93" customFormat="false" ht="21.75" hidden="false" customHeight="true" outlineLevel="0" collapsed="false">
      <c r="A93" s="18"/>
      <c r="B93" s="18"/>
      <c r="C93" s="18"/>
      <c r="D93" s="18"/>
      <c r="E93" s="18"/>
      <c r="F93" s="18"/>
      <c r="G93" s="14" t="s">
        <v>1199</v>
      </c>
      <c r="H93" s="9" t="s">
        <v>1200</v>
      </c>
      <c r="I93" s="43"/>
      <c r="J93" s="43"/>
      <c r="K93" s="43"/>
    </row>
    <row r="94" customFormat="false" ht="21.75" hidden="false" customHeight="true" outlineLevel="0" collapsed="false">
      <c r="A94" s="18"/>
      <c r="B94" s="18"/>
      <c r="C94" s="18"/>
      <c r="D94" s="18"/>
      <c r="E94" s="18"/>
      <c r="F94" s="18"/>
      <c r="G94" s="14" t="s">
        <v>1201</v>
      </c>
      <c r="H94" s="9" t="s">
        <v>1202</v>
      </c>
      <c r="I94" s="43"/>
      <c r="J94" s="43"/>
      <c r="K94" s="43"/>
    </row>
    <row r="95" customFormat="false" ht="21.75" hidden="false" customHeight="true" outlineLevel="0" collapsed="false">
      <c r="A95" s="18" t="s">
        <v>346</v>
      </c>
      <c r="B95" s="29" t="s">
        <v>995</v>
      </c>
      <c r="C95" s="40" t="s">
        <v>996</v>
      </c>
      <c r="D95" s="30" t="s">
        <v>969</v>
      </c>
      <c r="E95" s="41" t="n">
        <f aca="false">L14</f>
        <v>10</v>
      </c>
      <c r="F95" s="42" t="str">
        <f aca="false">IF(E95&gt;=10,"★★★ 核心",IF(E95&gt;=5,"★★ 辅助",IF(E95&gt;=2,"★ 补充","· 可跳过")))</f>
        <v>★★★ 核心</v>
      </c>
      <c r="G95" s="14" t="s">
        <v>1203</v>
      </c>
      <c r="H95" s="9" t="s">
        <v>1204</v>
      </c>
      <c r="I95" s="43" t="str">
        <f aca="false">$F$14</f>
        <v>buyside-model-builder · product-qp-modeler · qpm-bmb-link · equity-onepager-interactive</v>
      </c>
      <c r="J95" s="44" t="str">
        <f aca="false">$G$14</f>
        <v>iFind / EDGAR / 进门API</v>
      </c>
      <c r="K95" s="44" t="str">
        <f aca="false">$E$14</f>
        <v>商业模式被技术颠覆时</v>
      </c>
    </row>
    <row r="96" customFormat="false" ht="21.75" hidden="false" customHeight="true" outlineLevel="0" collapsed="false">
      <c r="A96" s="18"/>
      <c r="B96" s="18"/>
      <c r="C96" s="18"/>
      <c r="D96" s="18"/>
      <c r="E96" s="18"/>
      <c r="F96" s="18"/>
      <c r="G96" s="14" t="s">
        <v>1205</v>
      </c>
      <c r="H96" s="9" t="s">
        <v>1206</v>
      </c>
      <c r="I96" s="43"/>
      <c r="J96" s="43"/>
      <c r="K96" s="43"/>
    </row>
    <row r="97" customFormat="false" ht="21.75" hidden="false" customHeight="true" outlineLevel="0" collapsed="false">
      <c r="A97" s="18"/>
      <c r="B97" s="18"/>
      <c r="C97" s="18"/>
      <c r="D97" s="18"/>
      <c r="E97" s="18"/>
      <c r="F97" s="18"/>
      <c r="G97" s="14" t="s">
        <v>1207</v>
      </c>
      <c r="H97" s="9" t="s">
        <v>1208</v>
      </c>
      <c r="I97" s="43"/>
      <c r="J97" s="43"/>
      <c r="K97" s="43"/>
    </row>
    <row r="98" customFormat="false" ht="21.75" hidden="false" customHeight="true" outlineLevel="0" collapsed="false">
      <c r="A98" s="18"/>
      <c r="B98" s="18"/>
      <c r="C98" s="18"/>
      <c r="D98" s="18"/>
      <c r="E98" s="18"/>
      <c r="F98" s="18"/>
      <c r="G98" s="14" t="s">
        <v>1209</v>
      </c>
      <c r="H98" s="9" t="s">
        <v>1210</v>
      </c>
      <c r="I98" s="43"/>
      <c r="J98" s="43"/>
      <c r="K98" s="43"/>
    </row>
    <row r="99" customFormat="false" ht="21.75" hidden="false" customHeight="true" outlineLevel="0" collapsed="false">
      <c r="A99" s="18"/>
      <c r="B99" s="18"/>
      <c r="C99" s="18"/>
      <c r="D99" s="18"/>
      <c r="E99" s="18"/>
      <c r="F99" s="18"/>
      <c r="G99" s="14" t="s">
        <v>1211</v>
      </c>
      <c r="H99" s="9" t="s">
        <v>1212</v>
      </c>
      <c r="I99" s="43"/>
      <c r="J99" s="43"/>
      <c r="K99" s="43"/>
    </row>
    <row r="100" customFormat="false" ht="21.75" hidden="false" customHeight="true" outlineLevel="0" collapsed="false">
      <c r="A100" s="18" t="s">
        <v>346</v>
      </c>
      <c r="B100" s="29" t="s">
        <v>1001</v>
      </c>
      <c r="C100" s="40" t="s">
        <v>1002</v>
      </c>
      <c r="D100" s="30" t="s">
        <v>969</v>
      </c>
      <c r="E100" s="41" t="n">
        <f aca="false">L15</f>
        <v>4</v>
      </c>
      <c r="F100" s="42" t="str">
        <f aca="false">IF(E100&gt;=10,"★★★ 核心",IF(E100&gt;=5,"★★ 辅助",IF(E100&gt;=2,"★ 补充","· 可跳过")))</f>
        <v>★ 补充</v>
      </c>
      <c r="G100" s="14" t="s">
        <v>1213</v>
      </c>
      <c r="H100" s="9" t="s">
        <v>1214</v>
      </c>
      <c r="I100" s="43" t="str">
        <f aca="false">$F$15</f>
        <v>tech-species-primer(P0)</v>
      </c>
      <c r="J100" s="44" t="str">
        <f aca="false">$G$15</f>
        <v>论文 / 专利 / 技术白皮书</v>
      </c>
      <c r="K100" s="44" t="str">
        <f aca="false">$E$15</f>
        <v>技术已成熟固化</v>
      </c>
    </row>
    <row r="101" customFormat="false" ht="21.75" hidden="false" customHeight="true" outlineLevel="0" collapsed="false">
      <c r="A101" s="18"/>
      <c r="B101" s="18"/>
      <c r="C101" s="18"/>
      <c r="D101" s="18"/>
      <c r="E101" s="18"/>
      <c r="F101" s="18"/>
      <c r="G101" s="14" t="s">
        <v>1215</v>
      </c>
      <c r="H101" s="9" t="s">
        <v>1216</v>
      </c>
      <c r="I101" s="43"/>
      <c r="J101" s="43"/>
      <c r="K101" s="43"/>
    </row>
    <row r="102" customFormat="false" ht="21.75" hidden="false" customHeight="true" outlineLevel="0" collapsed="false">
      <c r="A102" s="18"/>
      <c r="B102" s="18"/>
      <c r="C102" s="18"/>
      <c r="D102" s="18"/>
      <c r="E102" s="18"/>
      <c r="F102" s="18"/>
      <c r="G102" s="14" t="s">
        <v>1217</v>
      </c>
      <c r="H102" s="9" t="s">
        <v>1218</v>
      </c>
      <c r="I102" s="43"/>
      <c r="J102" s="43"/>
      <c r="K102" s="43"/>
    </row>
    <row r="103" customFormat="false" ht="21.75" hidden="false" customHeight="true" outlineLevel="0" collapsed="false">
      <c r="A103" s="18"/>
      <c r="B103" s="18"/>
      <c r="C103" s="18"/>
      <c r="D103" s="18"/>
      <c r="E103" s="18"/>
      <c r="F103" s="18"/>
      <c r="G103" s="14" t="s">
        <v>1219</v>
      </c>
      <c r="H103" s="9" t="s">
        <v>1220</v>
      </c>
      <c r="I103" s="43"/>
      <c r="J103" s="43"/>
      <c r="K103" s="43"/>
    </row>
    <row r="104" customFormat="false" ht="21.75" hidden="false" customHeight="true" outlineLevel="0" collapsed="false">
      <c r="A104" s="18"/>
      <c r="B104" s="18"/>
      <c r="C104" s="18"/>
      <c r="D104" s="18"/>
      <c r="E104" s="18"/>
      <c r="F104" s="18"/>
      <c r="G104" s="14" t="s">
        <v>1221</v>
      </c>
      <c r="H104" s="9" t="s">
        <v>1222</v>
      </c>
      <c r="I104" s="43"/>
      <c r="J104" s="43"/>
      <c r="K104" s="43"/>
    </row>
    <row r="105" customFormat="false" ht="21.75" hidden="false" customHeight="true" outlineLevel="0" collapsed="false">
      <c r="A105" s="18" t="s">
        <v>346</v>
      </c>
      <c r="B105" s="29" t="s">
        <v>1007</v>
      </c>
      <c r="C105" s="40" t="s">
        <v>1008</v>
      </c>
      <c r="D105" s="30" t="s">
        <v>969</v>
      </c>
      <c r="E105" s="41" t="n">
        <f aca="false">L16</f>
        <v>14</v>
      </c>
      <c r="F105" s="42" t="str">
        <f aca="false">IF(E105&gt;=10,"★★★ 核心",IF(E105&gt;=5,"★★ 辅助",IF(E105&gt;=2,"★ 补充","· 可跳过")))</f>
        <v>★★★ 核心</v>
      </c>
      <c r="G105" s="14" t="s">
        <v>1223</v>
      </c>
      <c r="H105" s="9" t="s">
        <v>1224</v>
      </c>
      <c r="I105" s="43" t="str">
        <f aca="false">$F$16</f>
        <v>research-digest · insight-auto-collector · pm-intelligence-router</v>
      </c>
      <c r="J105" s="44" t="str">
        <f aca="false">$G$16</f>
        <v>Comein专家call / 经销商 / 替代数据</v>
      </c>
      <c r="K105" s="44" t="str">
        <f aca="false">$E$16</f>
        <v>样本偏差、专家被喂话</v>
      </c>
    </row>
    <row r="106" customFormat="false" ht="21.75" hidden="false" customHeight="true" outlineLevel="0" collapsed="false">
      <c r="A106" s="18"/>
      <c r="B106" s="18"/>
      <c r="C106" s="18"/>
      <c r="D106" s="18"/>
      <c r="E106" s="18"/>
      <c r="F106" s="18"/>
      <c r="G106" s="14" t="s">
        <v>1225</v>
      </c>
      <c r="H106" s="9" t="s">
        <v>1226</v>
      </c>
      <c r="I106" s="43"/>
      <c r="J106" s="43"/>
      <c r="K106" s="43"/>
    </row>
    <row r="107" customFormat="false" ht="21.75" hidden="false" customHeight="true" outlineLevel="0" collapsed="false">
      <c r="A107" s="18"/>
      <c r="B107" s="18"/>
      <c r="C107" s="18"/>
      <c r="D107" s="18"/>
      <c r="E107" s="18"/>
      <c r="F107" s="18"/>
      <c r="G107" s="14" t="s">
        <v>1227</v>
      </c>
      <c r="H107" s="9" t="s">
        <v>1228</v>
      </c>
      <c r="I107" s="43"/>
      <c r="J107" s="43"/>
      <c r="K107" s="43"/>
    </row>
    <row r="108" customFormat="false" ht="21.75" hidden="false" customHeight="true" outlineLevel="0" collapsed="false">
      <c r="A108" s="18"/>
      <c r="B108" s="18"/>
      <c r="C108" s="18"/>
      <c r="D108" s="18"/>
      <c r="E108" s="18"/>
      <c r="F108" s="18"/>
      <c r="G108" s="14" t="s">
        <v>1229</v>
      </c>
      <c r="H108" s="9" t="s">
        <v>556</v>
      </c>
      <c r="I108" s="43"/>
      <c r="J108" s="43"/>
      <c r="K108" s="43"/>
    </row>
    <row r="109" customFormat="false" ht="21.75" hidden="false" customHeight="true" outlineLevel="0" collapsed="false">
      <c r="A109" s="18"/>
      <c r="B109" s="18"/>
      <c r="C109" s="18"/>
      <c r="D109" s="18"/>
      <c r="E109" s="18"/>
      <c r="F109" s="18"/>
      <c r="G109" s="14" t="s">
        <v>1230</v>
      </c>
      <c r="H109" s="9" t="s">
        <v>1231</v>
      </c>
      <c r="I109" s="43"/>
      <c r="J109" s="43"/>
      <c r="K109" s="43"/>
    </row>
    <row r="110" customFormat="false" ht="21.75" hidden="false" customHeight="true" outlineLevel="0" collapsed="false">
      <c r="A110" s="18" t="s">
        <v>346</v>
      </c>
      <c r="B110" s="29" t="s">
        <v>1013</v>
      </c>
      <c r="C110" s="40" t="s">
        <v>1014</v>
      </c>
      <c r="D110" s="30" t="s">
        <v>969</v>
      </c>
      <c r="E110" s="41" t="n">
        <f aca="false">L17</f>
        <v>2</v>
      </c>
      <c r="F110" s="42" t="str">
        <f aca="false">IF(E110&gt;=10,"★★★ 核心",IF(E110&gt;=5,"★★ 辅助",IF(E110&gt;=2,"★ 补充","· 可跳过")))</f>
        <v>★ 补充</v>
      </c>
      <c r="G110" s="14" t="s">
        <v>1232</v>
      </c>
      <c r="H110" s="9" t="s">
        <v>1233</v>
      </c>
      <c r="I110" s="43" t="str">
        <f aca="false">$F$17</f>
        <v>dd-fast-qcc</v>
      </c>
      <c r="J110" s="44" t="str">
        <f aca="false">$G$17</f>
        <v>企查查QCC / 公告</v>
      </c>
      <c r="K110" s="44" t="str">
        <f aca="false">$E$17</f>
        <v>分散股权的成熟公司</v>
      </c>
    </row>
    <row r="111" customFormat="false" ht="21.75" hidden="false" customHeight="true" outlineLevel="0" collapsed="false">
      <c r="A111" s="18"/>
      <c r="B111" s="18"/>
      <c r="C111" s="18"/>
      <c r="D111" s="18"/>
      <c r="E111" s="18"/>
      <c r="F111" s="18"/>
      <c r="G111" s="14" t="s">
        <v>1234</v>
      </c>
      <c r="H111" s="9" t="s">
        <v>1235</v>
      </c>
      <c r="I111" s="43"/>
      <c r="J111" s="43"/>
      <c r="K111" s="43"/>
    </row>
    <row r="112" customFormat="false" ht="21.75" hidden="false" customHeight="true" outlineLevel="0" collapsed="false">
      <c r="A112" s="18"/>
      <c r="B112" s="18"/>
      <c r="C112" s="18"/>
      <c r="D112" s="18"/>
      <c r="E112" s="18"/>
      <c r="F112" s="18"/>
      <c r="G112" s="14" t="s">
        <v>1236</v>
      </c>
      <c r="H112" s="9" t="s">
        <v>1237</v>
      </c>
      <c r="I112" s="43"/>
      <c r="J112" s="43"/>
      <c r="K112" s="43"/>
    </row>
    <row r="113" customFormat="false" ht="21.75" hidden="false" customHeight="true" outlineLevel="0" collapsed="false">
      <c r="A113" s="18"/>
      <c r="B113" s="18"/>
      <c r="C113" s="18"/>
      <c r="D113" s="18"/>
      <c r="E113" s="18"/>
      <c r="F113" s="18"/>
      <c r="G113" s="14" t="s">
        <v>1238</v>
      </c>
      <c r="H113" s="9" t="s">
        <v>1239</v>
      </c>
      <c r="I113" s="43"/>
      <c r="J113" s="43"/>
      <c r="K113" s="43"/>
    </row>
    <row r="114" customFormat="false" ht="21.75" hidden="false" customHeight="true" outlineLevel="0" collapsed="false">
      <c r="A114" s="18"/>
      <c r="B114" s="18"/>
      <c r="C114" s="18"/>
      <c r="D114" s="18"/>
      <c r="E114" s="18"/>
      <c r="F114" s="18"/>
      <c r="G114" s="14" t="s">
        <v>1240</v>
      </c>
      <c r="H114" s="9" t="s">
        <v>1241</v>
      </c>
      <c r="I114" s="43"/>
      <c r="J114" s="43"/>
      <c r="K114" s="43"/>
    </row>
    <row r="115" customFormat="false" ht="21.75" hidden="false" customHeight="true" outlineLevel="0" collapsed="false">
      <c r="A115" s="18" t="s">
        <v>346</v>
      </c>
      <c r="B115" s="29" t="s">
        <v>1019</v>
      </c>
      <c r="C115" s="40" t="s">
        <v>1020</v>
      </c>
      <c r="D115" s="30" t="s">
        <v>971</v>
      </c>
      <c r="E115" s="41" t="n">
        <f aca="false">L18</f>
        <v>12</v>
      </c>
      <c r="F115" s="42" t="str">
        <f aca="false">IF(E115&gt;=10,"★★★ 核心",IF(E115&gt;=5,"★★ 辅助",IF(E115&gt;=2,"★ 补充","· 可跳过")))</f>
        <v>★★★ 核心</v>
      </c>
      <c r="G115" s="14" t="s">
        <v>1242</v>
      </c>
      <c r="H115" s="9" t="s">
        <v>630</v>
      </c>
      <c r="I115" s="43" t="str">
        <f aca="false">$F$18</f>
        <v>valuation-paradigm-decoder · sotp-baseline</v>
      </c>
      <c r="J115" s="44" t="str">
        <f aca="false">$G$18</f>
        <v>iFind市值 + AlphaPai</v>
      </c>
      <c r="K115" s="44" t="str">
        <f aca="false">$E$18</f>
        <v>无锚标的（亏损+故事股）</v>
      </c>
    </row>
    <row r="116" customFormat="false" ht="21.75" hidden="false" customHeight="true" outlineLevel="0" collapsed="false">
      <c r="A116" s="18"/>
      <c r="B116" s="18"/>
      <c r="C116" s="18"/>
      <c r="D116" s="18"/>
      <c r="E116" s="18"/>
      <c r="F116" s="18"/>
      <c r="G116" s="14" t="s">
        <v>1243</v>
      </c>
      <c r="H116" s="9" t="s">
        <v>1244</v>
      </c>
      <c r="I116" s="43"/>
      <c r="J116" s="43"/>
      <c r="K116" s="43"/>
    </row>
    <row r="117" customFormat="false" ht="21.75" hidden="false" customHeight="true" outlineLevel="0" collapsed="false">
      <c r="A117" s="18"/>
      <c r="B117" s="18"/>
      <c r="C117" s="18"/>
      <c r="D117" s="18"/>
      <c r="E117" s="18"/>
      <c r="F117" s="18"/>
      <c r="G117" s="14" t="s">
        <v>1245</v>
      </c>
      <c r="H117" s="9" t="s">
        <v>1246</v>
      </c>
      <c r="I117" s="43"/>
      <c r="J117" s="43"/>
      <c r="K117" s="43"/>
    </row>
    <row r="118" customFormat="false" ht="21.75" hidden="false" customHeight="true" outlineLevel="0" collapsed="false">
      <c r="A118" s="18"/>
      <c r="B118" s="18"/>
      <c r="C118" s="18"/>
      <c r="D118" s="18"/>
      <c r="E118" s="18"/>
      <c r="F118" s="18"/>
      <c r="G118" s="14" t="s">
        <v>1247</v>
      </c>
      <c r="H118" s="9" t="s">
        <v>1248</v>
      </c>
      <c r="I118" s="43"/>
      <c r="J118" s="43"/>
      <c r="K118" s="43"/>
    </row>
    <row r="119" customFormat="false" ht="21.75" hidden="false" customHeight="true" outlineLevel="0" collapsed="false">
      <c r="A119" s="18"/>
      <c r="B119" s="18"/>
      <c r="C119" s="18"/>
      <c r="D119" s="18"/>
      <c r="E119" s="18"/>
      <c r="F119" s="18"/>
      <c r="G119" s="14" t="s">
        <v>1249</v>
      </c>
      <c r="H119" s="9" t="s">
        <v>1250</v>
      </c>
      <c r="I119" s="43"/>
      <c r="J119" s="43"/>
      <c r="K119" s="43"/>
    </row>
    <row r="120" customFormat="false" ht="21.75" hidden="false" customHeight="true" outlineLevel="0" collapsed="false">
      <c r="A120" s="18" t="s">
        <v>346</v>
      </c>
      <c r="B120" s="29" t="s">
        <v>1025</v>
      </c>
      <c r="C120" s="40" t="s">
        <v>1026</v>
      </c>
      <c r="D120" s="30" t="s">
        <v>971</v>
      </c>
      <c r="E120" s="41" t="n">
        <f aca="false">L19</f>
        <v>14</v>
      </c>
      <c r="F120" s="42" t="str">
        <f aca="false">IF(E120&gt;=10,"★★★ 核心",IF(E120&gt;=5,"★★ 辅助",IF(E120&gt;=2,"★ 补充","· 可跳过")))</f>
        <v>★★★ 核心</v>
      </c>
      <c r="G120" s="14" t="s">
        <v>1251</v>
      </c>
      <c r="H120" s="9" t="s">
        <v>1252</v>
      </c>
      <c r="I120" s="43" t="str">
        <f aca="false">$F$19</f>
        <v>sotp-baseline(S5+) · sellside-model-decoder · equity-onepager-interactive</v>
      </c>
      <c r="J120" s="44" t="str">
        <f aca="false">$G$19</f>
        <v>FMP / AlphaPai / Comein</v>
      </c>
      <c r="K120" s="44" t="str">
        <f aca="false">$E$19</f>
        <v>覆盖少于3家</v>
      </c>
    </row>
    <row r="121" customFormat="false" ht="21.75" hidden="false" customHeight="true" outlineLevel="0" collapsed="false">
      <c r="A121" s="18"/>
      <c r="B121" s="18"/>
      <c r="C121" s="18"/>
      <c r="D121" s="18"/>
      <c r="E121" s="18"/>
      <c r="F121" s="18"/>
      <c r="G121" s="14" t="s">
        <v>1253</v>
      </c>
      <c r="H121" s="9" t="s">
        <v>1254</v>
      </c>
      <c r="I121" s="43"/>
      <c r="J121" s="43"/>
      <c r="K121" s="43"/>
    </row>
    <row r="122" customFormat="false" ht="21.75" hidden="false" customHeight="true" outlineLevel="0" collapsed="false">
      <c r="A122" s="18"/>
      <c r="B122" s="18"/>
      <c r="C122" s="18"/>
      <c r="D122" s="18"/>
      <c r="E122" s="18"/>
      <c r="F122" s="18"/>
      <c r="G122" s="14" t="s">
        <v>1255</v>
      </c>
      <c r="H122" s="9" t="s">
        <v>1256</v>
      </c>
      <c r="I122" s="43"/>
      <c r="J122" s="43"/>
      <c r="K122" s="43"/>
    </row>
    <row r="123" customFormat="false" ht="21.75" hidden="false" customHeight="true" outlineLevel="0" collapsed="false">
      <c r="A123" s="18"/>
      <c r="B123" s="18"/>
      <c r="C123" s="18"/>
      <c r="D123" s="18"/>
      <c r="E123" s="18"/>
      <c r="F123" s="18"/>
      <c r="G123" s="14" t="s">
        <v>1257</v>
      </c>
      <c r="H123" s="9" t="s">
        <v>1258</v>
      </c>
      <c r="I123" s="43"/>
      <c r="J123" s="43"/>
      <c r="K123" s="43"/>
    </row>
    <row r="124" customFormat="false" ht="21.75" hidden="false" customHeight="true" outlineLevel="0" collapsed="false">
      <c r="A124" s="18"/>
      <c r="B124" s="18"/>
      <c r="C124" s="18"/>
      <c r="D124" s="18"/>
      <c r="E124" s="18"/>
      <c r="F124" s="18"/>
      <c r="G124" s="14" t="s">
        <v>1259</v>
      </c>
      <c r="H124" s="9" t="s">
        <v>1260</v>
      </c>
      <c r="I124" s="43"/>
      <c r="J124" s="43"/>
      <c r="K124" s="43"/>
    </row>
    <row r="125" customFormat="false" ht="21.75" hidden="false" customHeight="true" outlineLevel="0" collapsed="false">
      <c r="A125" s="18" t="s">
        <v>346</v>
      </c>
      <c r="B125" s="29" t="s">
        <v>1031</v>
      </c>
      <c r="C125" s="40" t="s">
        <v>1032</v>
      </c>
      <c r="D125" s="30" t="s">
        <v>971</v>
      </c>
      <c r="E125" s="41" t="n">
        <f aca="false">L20</f>
        <v>8</v>
      </c>
      <c r="F125" s="42" t="str">
        <f aca="false">IF(E125&gt;=10,"★★★ 核心",IF(E125&gt;=5,"★★ 辅助",IF(E125&gt;=2,"★ 补充","· 可跳过")))</f>
        <v>★★ 辅助</v>
      </c>
      <c r="G125" s="14" t="s">
        <v>1261</v>
      </c>
      <c r="H125" s="9" t="s">
        <v>1262</v>
      </c>
      <c r="I125" s="43" t="str">
        <f aca="false">$F$20</f>
        <v>digital-oracle(narrative scan) · macro-global-monthly</v>
      </c>
      <c r="J125" s="44" t="str">
        <f aca="false">$G$20</f>
        <v>舆情 / Polymarket / 资产价格</v>
      </c>
      <c r="K125" s="44" t="str">
        <f aca="false">$E$20</f>
        <v>无叙事的价值股</v>
      </c>
    </row>
    <row r="126" customFormat="false" ht="21.75" hidden="false" customHeight="true" outlineLevel="0" collapsed="false">
      <c r="A126" s="18"/>
      <c r="B126" s="18"/>
      <c r="C126" s="18"/>
      <c r="D126" s="18"/>
      <c r="E126" s="18"/>
      <c r="F126" s="18"/>
      <c r="G126" s="14" t="s">
        <v>1263</v>
      </c>
      <c r="H126" s="9" t="s">
        <v>1264</v>
      </c>
      <c r="I126" s="43"/>
      <c r="J126" s="43"/>
      <c r="K126" s="43"/>
    </row>
    <row r="127" customFormat="false" ht="21.75" hidden="false" customHeight="true" outlineLevel="0" collapsed="false">
      <c r="A127" s="18"/>
      <c r="B127" s="18"/>
      <c r="C127" s="18"/>
      <c r="D127" s="18"/>
      <c r="E127" s="18"/>
      <c r="F127" s="18"/>
      <c r="G127" s="14" t="s">
        <v>1265</v>
      </c>
      <c r="H127" s="9" t="s">
        <v>1266</v>
      </c>
      <c r="I127" s="43"/>
      <c r="J127" s="43"/>
      <c r="K127" s="43"/>
    </row>
    <row r="128" customFormat="false" ht="21.75" hidden="false" customHeight="true" outlineLevel="0" collapsed="false">
      <c r="A128" s="18"/>
      <c r="B128" s="18"/>
      <c r="C128" s="18"/>
      <c r="D128" s="18"/>
      <c r="E128" s="18"/>
      <c r="F128" s="18"/>
      <c r="G128" s="14" t="s">
        <v>1267</v>
      </c>
      <c r="H128" s="9" t="s">
        <v>1268</v>
      </c>
      <c r="I128" s="43"/>
      <c r="J128" s="43"/>
      <c r="K128" s="43"/>
    </row>
    <row r="129" customFormat="false" ht="21.75" hidden="false" customHeight="true" outlineLevel="0" collapsed="false">
      <c r="A129" s="18"/>
      <c r="B129" s="18"/>
      <c r="C129" s="18"/>
      <c r="D129" s="18"/>
      <c r="E129" s="18"/>
      <c r="F129" s="18"/>
      <c r="G129" s="14" t="s">
        <v>1269</v>
      </c>
      <c r="H129" s="9" t="s">
        <v>1270</v>
      </c>
      <c r="I129" s="43"/>
      <c r="J129" s="43"/>
      <c r="K129" s="43"/>
    </row>
    <row r="130" customFormat="false" ht="21.75" hidden="false" customHeight="true" outlineLevel="0" collapsed="false">
      <c r="A130" s="18" t="s">
        <v>346</v>
      </c>
      <c r="B130" s="29" t="s">
        <v>1037</v>
      </c>
      <c r="C130" s="40" t="s">
        <v>1038</v>
      </c>
      <c r="D130" s="30" t="s">
        <v>971</v>
      </c>
      <c r="E130" s="41" t="n">
        <f aca="false">L21</f>
        <v>6</v>
      </c>
      <c r="F130" s="42" t="str">
        <f aca="false">IF(E130&gt;=10,"★★★ 核心",IF(E130&gt;=5,"★★ 辅助",IF(E130&gt;=2,"★ 补充","· 可跳过")))</f>
        <v>★★ 辅助</v>
      </c>
      <c r="G130" s="14" t="s">
        <v>1271</v>
      </c>
      <c r="H130" s="9" t="s">
        <v>1272</v>
      </c>
      <c r="I130" s="43" t="str">
        <f aca="false">$F$21</f>
        <v>equity-onepager-interactive(筹码龄) · digital-oracle · kline-reviewer</v>
      </c>
      <c r="J130" s="44" t="str">
        <f aca="false">$G$21</f>
        <v>iFind筹码 / 同花顺 / 龙虎榜</v>
      </c>
      <c r="K130" s="44" t="str">
        <f aca="false">$E$21</f>
        <v>流动性极差标的</v>
      </c>
    </row>
    <row r="131" customFormat="false" ht="21.75" hidden="false" customHeight="true" outlineLevel="0" collapsed="false">
      <c r="A131" s="18"/>
      <c r="B131" s="18"/>
      <c r="C131" s="18"/>
      <c r="D131" s="18"/>
      <c r="E131" s="18"/>
      <c r="F131" s="18"/>
      <c r="G131" s="14" t="s">
        <v>1273</v>
      </c>
      <c r="H131" s="9" t="s">
        <v>1274</v>
      </c>
      <c r="I131" s="43"/>
      <c r="J131" s="43"/>
      <c r="K131" s="43"/>
    </row>
    <row r="132" customFormat="false" ht="21.75" hidden="false" customHeight="true" outlineLevel="0" collapsed="false">
      <c r="A132" s="18"/>
      <c r="B132" s="18"/>
      <c r="C132" s="18"/>
      <c r="D132" s="18"/>
      <c r="E132" s="18"/>
      <c r="F132" s="18"/>
      <c r="G132" s="14" t="s">
        <v>1275</v>
      </c>
      <c r="H132" s="9" t="s">
        <v>1276</v>
      </c>
      <c r="I132" s="43"/>
      <c r="J132" s="43"/>
      <c r="K132" s="43"/>
    </row>
    <row r="133" customFormat="false" ht="21.75" hidden="false" customHeight="true" outlineLevel="0" collapsed="false">
      <c r="A133" s="18"/>
      <c r="B133" s="18"/>
      <c r="C133" s="18"/>
      <c r="D133" s="18"/>
      <c r="E133" s="18"/>
      <c r="F133" s="18"/>
      <c r="G133" s="14" t="s">
        <v>1277</v>
      </c>
      <c r="H133" s="9" t="s">
        <v>1278</v>
      </c>
      <c r="I133" s="43"/>
      <c r="J133" s="43"/>
      <c r="K133" s="43"/>
    </row>
    <row r="134" customFormat="false" ht="21.75" hidden="false" customHeight="true" outlineLevel="0" collapsed="false">
      <c r="A134" s="18"/>
      <c r="B134" s="18"/>
      <c r="C134" s="18"/>
      <c r="D134" s="18"/>
      <c r="E134" s="18"/>
      <c r="F134" s="18"/>
      <c r="G134" s="14" t="s">
        <v>1279</v>
      </c>
      <c r="H134" s="9" t="s">
        <v>1280</v>
      </c>
      <c r="I134" s="43"/>
      <c r="J134" s="43"/>
      <c r="K134" s="43"/>
    </row>
    <row r="135" customFormat="false" ht="21.75" hidden="false" customHeight="true" outlineLevel="0" collapsed="false">
      <c r="A135" s="18" t="s">
        <v>346</v>
      </c>
      <c r="B135" s="29" t="s">
        <v>1043</v>
      </c>
      <c r="C135" s="40" t="s">
        <v>1161</v>
      </c>
      <c r="D135" s="30" t="s">
        <v>973</v>
      </c>
      <c r="E135" s="41" t="n">
        <f aca="false">L22</f>
        <v>6</v>
      </c>
      <c r="F135" s="42" t="str">
        <f aca="false">IF(E135&gt;=10,"★★★ 核心",IF(E135&gt;=5,"★★ 辅助",IF(E135&gt;=2,"★ 补充","· 可跳过")))</f>
        <v>★★ 辅助</v>
      </c>
      <c r="G135" s="14" t="s">
        <v>1281</v>
      </c>
      <c r="H135" s="9" t="s">
        <v>1282</v>
      </c>
      <c r="I135" s="43" t="str">
        <f aca="false">$F$22</f>
        <v>stock-catalyst-review · digital-oracle(历史类比) · alt-conviction-builder</v>
      </c>
      <c r="J135" s="44" t="str">
        <f aca="false">$G$22</f>
        <v>历史价格 / IBKR / AKShare</v>
      </c>
      <c r="K135" s="44" t="str">
        <f aca="false">$E$22</f>
        <v>Regime切换后样本失效</v>
      </c>
    </row>
    <row r="136" customFormat="false" ht="21.75" hidden="false" customHeight="true" outlineLevel="0" collapsed="false">
      <c r="A136" s="18"/>
      <c r="B136" s="18"/>
      <c r="C136" s="18"/>
      <c r="D136" s="18"/>
      <c r="E136" s="18"/>
      <c r="F136" s="18"/>
      <c r="G136" s="14" t="s">
        <v>1283</v>
      </c>
      <c r="H136" s="9" t="s">
        <v>1284</v>
      </c>
      <c r="I136" s="43"/>
      <c r="J136" s="43"/>
      <c r="K136" s="43"/>
    </row>
    <row r="137" customFormat="false" ht="21.75" hidden="false" customHeight="true" outlineLevel="0" collapsed="false">
      <c r="A137" s="18"/>
      <c r="B137" s="18"/>
      <c r="C137" s="18"/>
      <c r="D137" s="18"/>
      <c r="E137" s="18"/>
      <c r="F137" s="18"/>
      <c r="G137" s="14" t="s">
        <v>1285</v>
      </c>
      <c r="H137" s="9" t="s">
        <v>1286</v>
      </c>
      <c r="I137" s="43"/>
      <c r="J137" s="43"/>
      <c r="K137" s="43"/>
    </row>
    <row r="138" customFormat="false" ht="21.75" hidden="false" customHeight="true" outlineLevel="0" collapsed="false">
      <c r="A138" s="18"/>
      <c r="B138" s="18"/>
      <c r="C138" s="18"/>
      <c r="D138" s="18"/>
      <c r="E138" s="18"/>
      <c r="F138" s="18"/>
      <c r="G138" s="14" t="s">
        <v>1287</v>
      </c>
      <c r="H138" s="9" t="s">
        <v>1288</v>
      </c>
      <c r="I138" s="43"/>
      <c r="J138" s="43"/>
      <c r="K138" s="43"/>
    </row>
    <row r="139" customFormat="false" ht="21.75" hidden="false" customHeight="true" outlineLevel="0" collapsed="false">
      <c r="A139" s="18"/>
      <c r="B139" s="18"/>
      <c r="C139" s="18"/>
      <c r="D139" s="18"/>
      <c r="E139" s="18"/>
      <c r="F139" s="18"/>
      <c r="G139" s="14" t="s">
        <v>1289</v>
      </c>
      <c r="H139" s="9" t="s">
        <v>1290</v>
      </c>
      <c r="I139" s="43"/>
      <c r="J139" s="43"/>
      <c r="K139" s="43"/>
    </row>
    <row r="140" customFormat="false" ht="21.75" hidden="false" customHeight="true" outlineLevel="0" collapsed="false">
      <c r="A140" s="18" t="s">
        <v>346</v>
      </c>
      <c r="B140" s="29" t="s">
        <v>1049</v>
      </c>
      <c r="C140" s="40" t="s">
        <v>1050</v>
      </c>
      <c r="D140" s="30" t="s">
        <v>973</v>
      </c>
      <c r="E140" s="41" t="n">
        <f aca="false">L23</f>
        <v>9</v>
      </c>
      <c r="F140" s="42" t="str">
        <f aca="false">IF(E140&gt;=10,"★★★ 核心",IF(E140&gt;=5,"★★ 辅助",IF(E140&gt;=2,"★ 补充","· 可跳过")))</f>
        <v>★★ 辅助</v>
      </c>
      <c r="G140" s="14" t="s">
        <v>1291</v>
      </c>
      <c r="H140" s="9" t="s">
        <v>1292</v>
      </c>
      <c r="I140" s="43" t="str">
        <f aca="false">$F$23</f>
        <v>stock-catalyst-review · catalyst-5m3t-deep-dive · chain-final-analysis(P6)</v>
      </c>
      <c r="J140" s="44" t="str">
        <f aca="false">$G$23</f>
        <v>公司公告 / 招标网 / 政策日历</v>
      </c>
      <c r="K140" s="44" t="str">
        <f aca="false">$E$23</f>
        <v>无事件驱动的慢变量</v>
      </c>
    </row>
    <row r="141" customFormat="false" ht="21.75" hidden="false" customHeight="true" outlineLevel="0" collapsed="false">
      <c r="A141" s="18"/>
      <c r="B141" s="18"/>
      <c r="C141" s="18"/>
      <c r="D141" s="18"/>
      <c r="E141" s="18"/>
      <c r="F141" s="18"/>
      <c r="G141" s="14" t="s">
        <v>1293</v>
      </c>
      <c r="H141" s="9" t="s">
        <v>1294</v>
      </c>
      <c r="I141" s="43"/>
      <c r="J141" s="43"/>
      <c r="K141" s="43"/>
    </row>
    <row r="142" customFormat="false" ht="21.75" hidden="false" customHeight="true" outlineLevel="0" collapsed="false">
      <c r="A142" s="18"/>
      <c r="B142" s="18"/>
      <c r="C142" s="18"/>
      <c r="D142" s="18"/>
      <c r="E142" s="18"/>
      <c r="F142" s="18"/>
      <c r="G142" s="14" t="s">
        <v>1295</v>
      </c>
      <c r="H142" s="9" t="s">
        <v>1296</v>
      </c>
      <c r="I142" s="43"/>
      <c r="J142" s="43"/>
      <c r="K142" s="43"/>
    </row>
    <row r="143" customFormat="false" ht="21.75" hidden="false" customHeight="true" outlineLevel="0" collapsed="false">
      <c r="A143" s="18"/>
      <c r="B143" s="18"/>
      <c r="C143" s="18"/>
      <c r="D143" s="18"/>
      <c r="E143" s="18"/>
      <c r="F143" s="18"/>
      <c r="G143" s="14" t="s">
        <v>1297</v>
      </c>
      <c r="H143" s="9" t="s">
        <v>1298</v>
      </c>
      <c r="I143" s="43"/>
      <c r="J143" s="43"/>
      <c r="K143" s="43"/>
    </row>
    <row r="144" customFormat="false" ht="21.75" hidden="false" customHeight="true" outlineLevel="0" collapsed="false">
      <c r="A144" s="18"/>
      <c r="B144" s="18"/>
      <c r="C144" s="18"/>
      <c r="D144" s="18"/>
      <c r="E144" s="18"/>
      <c r="F144" s="18"/>
      <c r="G144" s="14" t="s">
        <v>1299</v>
      </c>
      <c r="H144" s="9" t="s">
        <v>1300</v>
      </c>
      <c r="I144" s="43"/>
      <c r="J144" s="43"/>
      <c r="K144" s="43"/>
    </row>
    <row r="145" customFormat="false" ht="21.75" hidden="false" customHeight="true" outlineLevel="0" collapsed="false">
      <c r="A145" s="18" t="s">
        <v>346</v>
      </c>
      <c r="B145" s="29" t="s">
        <v>1055</v>
      </c>
      <c r="C145" s="40" t="s">
        <v>1182</v>
      </c>
      <c r="D145" s="30" t="s">
        <v>973</v>
      </c>
      <c r="E145" s="41" t="n">
        <f aca="false">L24</f>
        <v>5</v>
      </c>
      <c r="F145" s="42" t="str">
        <f aca="false">IF(E145&gt;=10,"★★★ 核心",IF(E145&gt;=5,"★★ 辅助",IF(E145&gt;=2,"★ 补充","· 可跳过")))</f>
        <v>★★ 辅助</v>
      </c>
      <c r="G145" s="14" t="s">
        <v>1301</v>
      </c>
      <c r="H145" s="9" t="s">
        <v>1302</v>
      </c>
      <c r="I145" s="43" t="str">
        <f aca="false">$F$24</f>
        <v>alt-conviction-builder · digital-oracle · weekly-stock-review</v>
      </c>
      <c r="J145" s="44" t="str">
        <f aca="false">$G$24</f>
        <v>Yahoo / Binance / 商品期货</v>
      </c>
      <c r="K145" s="44" t="str">
        <f aca="false">$E$24</f>
        <v>相关性历史上不稳定</v>
      </c>
    </row>
    <row r="146" customFormat="false" ht="21.75" hidden="false" customHeight="true" outlineLevel="0" collapsed="false">
      <c r="A146" s="18"/>
      <c r="B146" s="18"/>
      <c r="C146" s="18"/>
      <c r="D146" s="18"/>
      <c r="E146" s="18"/>
      <c r="F146" s="18"/>
      <c r="G146" s="14" t="s">
        <v>1303</v>
      </c>
      <c r="H146" s="9" t="s">
        <v>1304</v>
      </c>
      <c r="I146" s="43"/>
      <c r="J146" s="43"/>
      <c r="K146" s="43"/>
    </row>
    <row r="147" customFormat="false" ht="21.75" hidden="false" customHeight="true" outlineLevel="0" collapsed="false">
      <c r="A147" s="18"/>
      <c r="B147" s="18"/>
      <c r="C147" s="18"/>
      <c r="D147" s="18"/>
      <c r="E147" s="18"/>
      <c r="F147" s="18"/>
      <c r="G147" s="14" t="s">
        <v>1305</v>
      </c>
      <c r="H147" s="9" t="s">
        <v>1306</v>
      </c>
      <c r="I147" s="43"/>
      <c r="J147" s="43"/>
      <c r="K147" s="43"/>
    </row>
    <row r="148" customFormat="false" ht="21.75" hidden="false" customHeight="true" outlineLevel="0" collapsed="false">
      <c r="A148" s="18"/>
      <c r="B148" s="18"/>
      <c r="C148" s="18"/>
      <c r="D148" s="18"/>
      <c r="E148" s="18"/>
      <c r="F148" s="18"/>
      <c r="G148" s="14" t="s">
        <v>1307</v>
      </c>
      <c r="H148" s="15" t="s">
        <v>1308</v>
      </c>
      <c r="I148" s="43"/>
      <c r="J148" s="43"/>
      <c r="K148" s="43"/>
    </row>
    <row r="149" customFormat="false" ht="21.75" hidden="false" customHeight="true" outlineLevel="0" collapsed="false">
      <c r="A149" s="18"/>
      <c r="B149" s="18"/>
      <c r="C149" s="18"/>
      <c r="D149" s="18"/>
      <c r="E149" s="18"/>
      <c r="F149" s="18"/>
      <c r="G149" s="14" t="s">
        <v>1309</v>
      </c>
      <c r="H149" s="9" t="s">
        <v>1310</v>
      </c>
      <c r="I149" s="43"/>
      <c r="J149" s="43"/>
      <c r="K149" s="43"/>
    </row>
    <row r="150" customFormat="false" ht="21.75" hidden="false" customHeight="true" outlineLevel="0" collapsed="false">
      <c r="A150" s="20" t="s">
        <v>671</v>
      </c>
      <c r="B150" s="29" t="s">
        <v>989</v>
      </c>
      <c r="C150" s="40" t="s">
        <v>1070</v>
      </c>
      <c r="D150" s="30" t="s">
        <v>969</v>
      </c>
      <c r="E150" s="41" t="n">
        <f aca="false">M13</f>
        <v>2.5</v>
      </c>
      <c r="F150" s="42" t="str">
        <f aca="false">IF(E150&gt;=10,"★★★ 核心",IF(E150&gt;=5,"★★ 辅助",IF(E150&gt;=2,"★ 补充","· 可跳过")))</f>
        <v>★ 补充</v>
      </c>
      <c r="G150" s="14" t="s">
        <v>1311</v>
      </c>
      <c r="H150" s="9" t="s">
        <v>1312</v>
      </c>
      <c r="I150" s="43" t="str">
        <f aca="false">$F$13</f>
        <v>supply-chain-mapper · demand-decoder(P2) · supply-decoder(P3) · chokepoint-screener · industry-tam-research</v>
      </c>
      <c r="J150" s="44" t="str">
        <f aca="false">$G$13</f>
        <v>Comein / iFind / 行业协会</v>
      </c>
      <c r="K150" s="44" t="str">
        <f aca="false">$E$13</f>
        <v>链条稳定期，边际信息为零</v>
      </c>
    </row>
    <row r="151" customFormat="false" ht="21.75" hidden="false" customHeight="true" outlineLevel="0" collapsed="false">
      <c r="A151" s="20"/>
      <c r="B151" s="20"/>
      <c r="C151" s="20"/>
      <c r="D151" s="20"/>
      <c r="E151" s="20"/>
      <c r="F151" s="20"/>
      <c r="G151" s="14" t="s">
        <v>1313</v>
      </c>
      <c r="H151" s="9" t="s">
        <v>1314</v>
      </c>
      <c r="I151" s="43"/>
      <c r="J151" s="43"/>
      <c r="K151" s="43"/>
    </row>
    <row r="152" customFormat="false" ht="21.75" hidden="false" customHeight="true" outlineLevel="0" collapsed="false">
      <c r="A152" s="20"/>
      <c r="B152" s="20"/>
      <c r="C152" s="20"/>
      <c r="D152" s="20"/>
      <c r="E152" s="20"/>
      <c r="F152" s="20"/>
      <c r="G152" s="14" t="s">
        <v>1315</v>
      </c>
      <c r="H152" s="9" t="s">
        <v>1316</v>
      </c>
      <c r="I152" s="43"/>
      <c r="J152" s="43"/>
      <c r="K152" s="43"/>
    </row>
    <row r="153" customFormat="false" ht="21.75" hidden="false" customHeight="true" outlineLevel="0" collapsed="false">
      <c r="A153" s="20"/>
      <c r="B153" s="20"/>
      <c r="C153" s="20"/>
      <c r="D153" s="20"/>
      <c r="E153" s="20"/>
      <c r="F153" s="20"/>
      <c r="G153" s="14" t="s">
        <v>1317</v>
      </c>
      <c r="H153" s="9" t="s">
        <v>1318</v>
      </c>
      <c r="I153" s="43"/>
      <c r="J153" s="43"/>
      <c r="K153" s="43"/>
    </row>
    <row r="154" customFormat="false" ht="21.75" hidden="false" customHeight="true" outlineLevel="0" collapsed="false">
      <c r="A154" s="20"/>
      <c r="B154" s="20"/>
      <c r="C154" s="20"/>
      <c r="D154" s="20"/>
      <c r="E154" s="20"/>
      <c r="F154" s="20"/>
      <c r="G154" s="14" t="s">
        <v>1319</v>
      </c>
      <c r="H154" s="9" t="s">
        <v>1320</v>
      </c>
      <c r="I154" s="43"/>
      <c r="J154" s="43"/>
      <c r="K154" s="43"/>
    </row>
    <row r="155" customFormat="false" ht="21.75" hidden="false" customHeight="true" outlineLevel="0" collapsed="false">
      <c r="A155" s="20" t="s">
        <v>671</v>
      </c>
      <c r="B155" s="29" t="s">
        <v>995</v>
      </c>
      <c r="C155" s="40" t="s">
        <v>996</v>
      </c>
      <c r="D155" s="30" t="s">
        <v>969</v>
      </c>
      <c r="E155" s="41" t="n">
        <f aca="false">M14</f>
        <v>2</v>
      </c>
      <c r="F155" s="42" t="str">
        <f aca="false">IF(E155&gt;=10,"★★★ 核心",IF(E155&gt;=5,"★★ 辅助",IF(E155&gt;=2,"★ 补充","· 可跳过")))</f>
        <v>★ 补充</v>
      </c>
      <c r="G155" s="14" t="s">
        <v>1321</v>
      </c>
      <c r="H155" s="9" t="s">
        <v>1322</v>
      </c>
      <c r="I155" s="43" t="str">
        <f aca="false">$F$14</f>
        <v>buyside-model-builder · product-qp-modeler · qpm-bmb-link · equity-onepager-interactive</v>
      </c>
      <c r="J155" s="44" t="str">
        <f aca="false">$G$14</f>
        <v>iFind / EDGAR / 进门API</v>
      </c>
      <c r="K155" s="44" t="str">
        <f aca="false">$E$14</f>
        <v>商业模式被技术颠覆时</v>
      </c>
    </row>
    <row r="156" customFormat="false" ht="21.75" hidden="false" customHeight="true" outlineLevel="0" collapsed="false">
      <c r="A156" s="20"/>
      <c r="B156" s="20"/>
      <c r="C156" s="20"/>
      <c r="D156" s="20"/>
      <c r="E156" s="20"/>
      <c r="F156" s="20"/>
      <c r="G156" s="14" t="s">
        <v>1323</v>
      </c>
      <c r="H156" s="9" t="s">
        <v>1324</v>
      </c>
      <c r="I156" s="43"/>
      <c r="J156" s="43"/>
      <c r="K156" s="43"/>
    </row>
    <row r="157" customFormat="false" ht="21.75" hidden="false" customHeight="true" outlineLevel="0" collapsed="false">
      <c r="A157" s="20"/>
      <c r="B157" s="20"/>
      <c r="C157" s="20"/>
      <c r="D157" s="20"/>
      <c r="E157" s="20"/>
      <c r="F157" s="20"/>
      <c r="G157" s="14" t="s">
        <v>1325</v>
      </c>
      <c r="H157" s="9" t="s">
        <v>1326</v>
      </c>
      <c r="I157" s="43"/>
      <c r="J157" s="43"/>
      <c r="K157" s="43"/>
    </row>
    <row r="158" customFormat="false" ht="21.75" hidden="false" customHeight="true" outlineLevel="0" collapsed="false">
      <c r="A158" s="20"/>
      <c r="B158" s="20"/>
      <c r="C158" s="20"/>
      <c r="D158" s="20"/>
      <c r="E158" s="20"/>
      <c r="F158" s="20"/>
      <c r="G158" s="14" t="s">
        <v>1327</v>
      </c>
      <c r="H158" s="9" t="s">
        <v>1328</v>
      </c>
      <c r="I158" s="43"/>
      <c r="J158" s="43"/>
      <c r="K158" s="43"/>
    </row>
    <row r="159" customFormat="false" ht="21.75" hidden="false" customHeight="true" outlineLevel="0" collapsed="false">
      <c r="A159" s="20"/>
      <c r="B159" s="20"/>
      <c r="C159" s="20"/>
      <c r="D159" s="20"/>
      <c r="E159" s="20"/>
      <c r="F159" s="20"/>
      <c r="G159" s="14" t="s">
        <v>1329</v>
      </c>
      <c r="H159" s="9" t="s">
        <v>1330</v>
      </c>
      <c r="I159" s="43"/>
      <c r="J159" s="43"/>
      <c r="K159" s="43"/>
    </row>
    <row r="160" customFormat="false" ht="21.75" hidden="false" customHeight="true" outlineLevel="0" collapsed="false">
      <c r="A160" s="20" t="s">
        <v>671</v>
      </c>
      <c r="B160" s="29" t="s">
        <v>1001</v>
      </c>
      <c r="C160" s="40" t="s">
        <v>1002</v>
      </c>
      <c r="D160" s="30" t="s">
        <v>969</v>
      </c>
      <c r="E160" s="41" t="n">
        <f aca="false">M15</f>
        <v>0.5</v>
      </c>
      <c r="F160" s="42" t="str">
        <f aca="false">IF(E160&gt;=10,"★★★ 核心",IF(E160&gt;=5,"★★ 辅助",IF(E160&gt;=2,"★ 补充","· 可跳过")))</f>
        <v>· 可跳过</v>
      </c>
      <c r="G160" s="14" t="s">
        <v>1331</v>
      </c>
      <c r="H160" s="9" t="s">
        <v>1332</v>
      </c>
      <c r="I160" s="43" t="str">
        <f aca="false">$F$15</f>
        <v>tech-species-primer(P0)</v>
      </c>
      <c r="J160" s="44" t="str">
        <f aca="false">$G$15</f>
        <v>论文 / 专利 / 技术白皮书</v>
      </c>
      <c r="K160" s="44" t="str">
        <f aca="false">$E$15</f>
        <v>技术已成熟固化</v>
      </c>
    </row>
    <row r="161" customFormat="false" ht="21.75" hidden="false" customHeight="true" outlineLevel="0" collapsed="false">
      <c r="A161" s="20"/>
      <c r="B161" s="20"/>
      <c r="C161" s="20"/>
      <c r="D161" s="20"/>
      <c r="E161" s="20"/>
      <c r="F161" s="20"/>
      <c r="G161" s="14" t="s">
        <v>1333</v>
      </c>
      <c r="H161" s="9" t="s">
        <v>1334</v>
      </c>
      <c r="I161" s="43"/>
      <c r="J161" s="43"/>
      <c r="K161" s="43"/>
    </row>
    <row r="162" customFormat="false" ht="21.75" hidden="false" customHeight="true" outlineLevel="0" collapsed="false">
      <c r="A162" s="20"/>
      <c r="B162" s="20"/>
      <c r="C162" s="20"/>
      <c r="D162" s="20"/>
      <c r="E162" s="20"/>
      <c r="F162" s="20"/>
      <c r="G162" s="14" t="s">
        <v>1335</v>
      </c>
      <c r="H162" s="9" t="s">
        <v>1336</v>
      </c>
      <c r="I162" s="43"/>
      <c r="J162" s="43"/>
      <c r="K162" s="43"/>
    </row>
    <row r="163" customFormat="false" ht="21.75" hidden="false" customHeight="true" outlineLevel="0" collapsed="false">
      <c r="A163" s="20"/>
      <c r="B163" s="20"/>
      <c r="C163" s="20"/>
      <c r="D163" s="20"/>
      <c r="E163" s="20"/>
      <c r="F163" s="20"/>
      <c r="G163" s="14" t="s">
        <v>1337</v>
      </c>
      <c r="H163" s="9" t="s">
        <v>1338</v>
      </c>
      <c r="I163" s="43"/>
      <c r="J163" s="43"/>
      <c r="K163" s="43"/>
    </row>
    <row r="164" customFormat="false" ht="21.75" hidden="false" customHeight="true" outlineLevel="0" collapsed="false">
      <c r="A164" s="20"/>
      <c r="B164" s="20"/>
      <c r="C164" s="20"/>
      <c r="D164" s="20"/>
      <c r="E164" s="20"/>
      <c r="F164" s="20"/>
      <c r="G164" s="14" t="s">
        <v>1339</v>
      </c>
      <c r="H164" s="9" t="s">
        <v>1340</v>
      </c>
      <c r="I164" s="43"/>
      <c r="J164" s="43"/>
      <c r="K164" s="43"/>
    </row>
    <row r="165" customFormat="false" ht="21.75" hidden="false" customHeight="true" outlineLevel="0" collapsed="false">
      <c r="A165" s="20" t="s">
        <v>671</v>
      </c>
      <c r="B165" s="29" t="s">
        <v>1007</v>
      </c>
      <c r="C165" s="40" t="s">
        <v>1008</v>
      </c>
      <c r="D165" s="30" t="s">
        <v>969</v>
      </c>
      <c r="E165" s="41" t="n">
        <f aca="false">M16</f>
        <v>4</v>
      </c>
      <c r="F165" s="42" t="str">
        <f aca="false">IF(E165&gt;=10,"★★★ 核心",IF(E165&gt;=5,"★★ 辅助",IF(E165&gt;=2,"★ 补充","· 可跳过")))</f>
        <v>★ 补充</v>
      </c>
      <c r="G165" s="14" t="s">
        <v>1341</v>
      </c>
      <c r="H165" s="9" t="s">
        <v>1342</v>
      </c>
      <c r="I165" s="43" t="str">
        <f aca="false">$F$16</f>
        <v>research-digest · insight-auto-collector · pm-intelligence-router</v>
      </c>
      <c r="J165" s="44" t="str">
        <f aca="false">$G$16</f>
        <v>Comein专家call / 经销商 / 替代数据</v>
      </c>
      <c r="K165" s="44" t="str">
        <f aca="false">$E$16</f>
        <v>样本偏差、专家被喂话</v>
      </c>
    </row>
    <row r="166" customFormat="false" ht="21.75" hidden="false" customHeight="true" outlineLevel="0" collapsed="false">
      <c r="A166" s="20"/>
      <c r="B166" s="20"/>
      <c r="C166" s="20"/>
      <c r="D166" s="20"/>
      <c r="E166" s="20"/>
      <c r="F166" s="20"/>
      <c r="G166" s="14" t="s">
        <v>1343</v>
      </c>
      <c r="H166" s="9" t="s">
        <v>1344</v>
      </c>
      <c r="I166" s="43"/>
      <c r="J166" s="43"/>
      <c r="K166" s="43"/>
    </row>
    <row r="167" customFormat="false" ht="21.75" hidden="false" customHeight="true" outlineLevel="0" collapsed="false">
      <c r="A167" s="20"/>
      <c r="B167" s="20"/>
      <c r="C167" s="20"/>
      <c r="D167" s="20"/>
      <c r="E167" s="20"/>
      <c r="F167" s="20"/>
      <c r="G167" s="14" t="s">
        <v>1345</v>
      </c>
      <c r="H167" s="9" t="s">
        <v>1346</v>
      </c>
      <c r="I167" s="43"/>
      <c r="J167" s="43"/>
      <c r="K167" s="43"/>
    </row>
    <row r="168" customFormat="false" ht="21.75" hidden="false" customHeight="true" outlineLevel="0" collapsed="false">
      <c r="A168" s="20"/>
      <c r="B168" s="20"/>
      <c r="C168" s="20"/>
      <c r="D168" s="20"/>
      <c r="E168" s="20"/>
      <c r="F168" s="20"/>
      <c r="G168" s="14" t="s">
        <v>1347</v>
      </c>
      <c r="H168" s="9" t="s">
        <v>1348</v>
      </c>
      <c r="I168" s="43"/>
      <c r="J168" s="43"/>
      <c r="K168" s="43"/>
    </row>
    <row r="169" customFormat="false" ht="21.75" hidden="false" customHeight="true" outlineLevel="0" collapsed="false">
      <c r="A169" s="20"/>
      <c r="B169" s="20"/>
      <c r="C169" s="20"/>
      <c r="D169" s="20"/>
      <c r="E169" s="20"/>
      <c r="F169" s="20"/>
      <c r="G169" s="14" t="s">
        <v>1349</v>
      </c>
      <c r="H169" s="9" t="s">
        <v>1350</v>
      </c>
      <c r="I169" s="43"/>
      <c r="J169" s="43"/>
      <c r="K169" s="43"/>
    </row>
    <row r="170" customFormat="false" ht="21.75" hidden="false" customHeight="true" outlineLevel="0" collapsed="false">
      <c r="A170" s="20" t="s">
        <v>671</v>
      </c>
      <c r="B170" s="29" t="s">
        <v>1013</v>
      </c>
      <c r="C170" s="40" t="s">
        <v>1014</v>
      </c>
      <c r="D170" s="30" t="s">
        <v>969</v>
      </c>
      <c r="E170" s="41" t="n">
        <f aca="false">M17</f>
        <v>1</v>
      </c>
      <c r="F170" s="42" t="str">
        <f aca="false">IF(E170&gt;=10,"★★★ 核心",IF(E170&gt;=5,"★★ 辅助",IF(E170&gt;=2,"★ 补充","· 可跳过")))</f>
        <v>· 可跳过</v>
      </c>
      <c r="G170" s="14" t="s">
        <v>1351</v>
      </c>
      <c r="H170" s="9" t="s">
        <v>1352</v>
      </c>
      <c r="I170" s="43" t="str">
        <f aca="false">$F$17</f>
        <v>dd-fast-qcc</v>
      </c>
      <c r="J170" s="44" t="str">
        <f aca="false">$G$17</f>
        <v>企查查QCC / 公告</v>
      </c>
      <c r="K170" s="44" t="str">
        <f aca="false">$E$17</f>
        <v>分散股权的成熟公司</v>
      </c>
    </row>
    <row r="171" customFormat="false" ht="21.75" hidden="false" customHeight="true" outlineLevel="0" collapsed="false">
      <c r="A171" s="20"/>
      <c r="B171" s="20"/>
      <c r="C171" s="20"/>
      <c r="D171" s="20"/>
      <c r="E171" s="20"/>
      <c r="F171" s="20"/>
      <c r="G171" s="14" t="s">
        <v>1353</v>
      </c>
      <c r="H171" s="9" t="s">
        <v>1354</v>
      </c>
      <c r="I171" s="43"/>
      <c r="J171" s="43"/>
      <c r="K171" s="43"/>
    </row>
    <row r="172" customFormat="false" ht="21.75" hidden="false" customHeight="true" outlineLevel="0" collapsed="false">
      <c r="A172" s="20"/>
      <c r="B172" s="20"/>
      <c r="C172" s="20"/>
      <c r="D172" s="20"/>
      <c r="E172" s="20"/>
      <c r="F172" s="20"/>
      <c r="G172" s="14" t="s">
        <v>1355</v>
      </c>
      <c r="H172" s="9" t="s">
        <v>1356</v>
      </c>
      <c r="I172" s="43"/>
      <c r="J172" s="43"/>
      <c r="K172" s="43"/>
    </row>
    <row r="173" customFormat="false" ht="21.75" hidden="false" customHeight="true" outlineLevel="0" collapsed="false">
      <c r="A173" s="20"/>
      <c r="B173" s="20"/>
      <c r="C173" s="20"/>
      <c r="D173" s="20"/>
      <c r="E173" s="20"/>
      <c r="F173" s="20"/>
      <c r="G173" s="14" t="s">
        <v>1357</v>
      </c>
      <c r="H173" s="9" t="s">
        <v>1358</v>
      </c>
      <c r="I173" s="43"/>
      <c r="J173" s="43"/>
      <c r="K173" s="43"/>
    </row>
    <row r="174" customFormat="false" ht="21.75" hidden="false" customHeight="true" outlineLevel="0" collapsed="false">
      <c r="A174" s="20"/>
      <c r="B174" s="20"/>
      <c r="C174" s="20"/>
      <c r="D174" s="20"/>
      <c r="E174" s="20"/>
      <c r="F174" s="20"/>
      <c r="G174" s="14" t="s">
        <v>1359</v>
      </c>
      <c r="H174" s="9" t="s">
        <v>1360</v>
      </c>
      <c r="I174" s="43"/>
      <c r="J174" s="43"/>
      <c r="K174" s="43"/>
    </row>
    <row r="175" customFormat="false" ht="21.75" hidden="false" customHeight="true" outlineLevel="0" collapsed="false">
      <c r="A175" s="20" t="s">
        <v>671</v>
      </c>
      <c r="B175" s="29" t="s">
        <v>1019</v>
      </c>
      <c r="C175" s="40" t="s">
        <v>1020</v>
      </c>
      <c r="D175" s="30" t="s">
        <v>971</v>
      </c>
      <c r="E175" s="41" t="n">
        <f aca="false">M18</f>
        <v>6</v>
      </c>
      <c r="F175" s="42" t="str">
        <f aca="false">IF(E175&gt;=10,"★★★ 核心",IF(E175&gt;=5,"★★ 辅助",IF(E175&gt;=2,"★ 补充","· 可跳过")))</f>
        <v>★★ 辅助</v>
      </c>
      <c r="G175" s="14" t="s">
        <v>1361</v>
      </c>
      <c r="H175" s="9" t="s">
        <v>1362</v>
      </c>
      <c r="I175" s="43" t="str">
        <f aca="false">$F$18</f>
        <v>valuation-paradigm-decoder · sotp-baseline</v>
      </c>
      <c r="J175" s="44" t="str">
        <f aca="false">$G$18</f>
        <v>iFind市值 + AlphaPai</v>
      </c>
      <c r="K175" s="44" t="str">
        <f aca="false">$E$18</f>
        <v>无锚标的（亏损+故事股）</v>
      </c>
    </row>
    <row r="176" customFormat="false" ht="21.75" hidden="false" customHeight="true" outlineLevel="0" collapsed="false">
      <c r="A176" s="20"/>
      <c r="B176" s="20"/>
      <c r="C176" s="20"/>
      <c r="D176" s="20"/>
      <c r="E176" s="20"/>
      <c r="F176" s="20"/>
      <c r="G176" s="14" t="s">
        <v>1363</v>
      </c>
      <c r="H176" s="9" t="s">
        <v>1364</v>
      </c>
      <c r="I176" s="43"/>
      <c r="J176" s="43"/>
      <c r="K176" s="43"/>
    </row>
    <row r="177" customFormat="false" ht="21.75" hidden="false" customHeight="true" outlineLevel="0" collapsed="false">
      <c r="A177" s="20"/>
      <c r="B177" s="20"/>
      <c r="C177" s="20"/>
      <c r="D177" s="20"/>
      <c r="E177" s="20"/>
      <c r="F177" s="20"/>
      <c r="G177" s="14" t="s">
        <v>1365</v>
      </c>
      <c r="H177" s="9" t="s">
        <v>1366</v>
      </c>
      <c r="I177" s="43"/>
      <c r="J177" s="43"/>
      <c r="K177" s="43"/>
    </row>
    <row r="178" customFormat="false" ht="21.75" hidden="false" customHeight="true" outlineLevel="0" collapsed="false">
      <c r="A178" s="20"/>
      <c r="B178" s="20"/>
      <c r="C178" s="20"/>
      <c r="D178" s="20"/>
      <c r="E178" s="20"/>
      <c r="F178" s="20"/>
      <c r="G178" s="14" t="s">
        <v>1367</v>
      </c>
      <c r="H178" s="9" t="s">
        <v>1368</v>
      </c>
      <c r="I178" s="43"/>
      <c r="J178" s="43"/>
      <c r="K178" s="43"/>
    </row>
    <row r="179" customFormat="false" ht="21.75" hidden="false" customHeight="true" outlineLevel="0" collapsed="false">
      <c r="A179" s="20"/>
      <c r="B179" s="20"/>
      <c r="C179" s="20"/>
      <c r="D179" s="20"/>
      <c r="E179" s="20"/>
      <c r="F179" s="20"/>
      <c r="G179" s="14" t="s">
        <v>1369</v>
      </c>
      <c r="H179" s="9" t="s">
        <v>1370</v>
      </c>
      <c r="I179" s="43"/>
      <c r="J179" s="43"/>
      <c r="K179" s="43"/>
    </row>
    <row r="180" customFormat="false" ht="21.75" hidden="false" customHeight="true" outlineLevel="0" collapsed="false">
      <c r="A180" s="20" t="s">
        <v>671</v>
      </c>
      <c r="B180" s="29" t="s">
        <v>1025</v>
      </c>
      <c r="C180" s="40" t="s">
        <v>1026</v>
      </c>
      <c r="D180" s="30" t="s">
        <v>971</v>
      </c>
      <c r="E180" s="41" t="n">
        <f aca="false">M19</f>
        <v>8</v>
      </c>
      <c r="F180" s="42" t="str">
        <f aca="false">IF(E180&gt;=10,"★★★ 核心",IF(E180&gt;=5,"★★ 辅助",IF(E180&gt;=2,"★ 补充","· 可跳过")))</f>
        <v>★★ 辅助</v>
      </c>
      <c r="G180" s="14" t="s">
        <v>1371</v>
      </c>
      <c r="H180" s="9" t="s">
        <v>1372</v>
      </c>
      <c r="I180" s="43" t="str">
        <f aca="false">$F$19</f>
        <v>sotp-baseline(S5+) · sellside-model-decoder · equity-onepager-interactive</v>
      </c>
      <c r="J180" s="44" t="str">
        <f aca="false">$G$19</f>
        <v>FMP / AlphaPai / Comein</v>
      </c>
      <c r="K180" s="44" t="str">
        <f aca="false">$E$19</f>
        <v>覆盖少于3家</v>
      </c>
    </row>
    <row r="181" customFormat="false" ht="21.75" hidden="false" customHeight="true" outlineLevel="0" collapsed="false">
      <c r="A181" s="20"/>
      <c r="B181" s="20"/>
      <c r="C181" s="20"/>
      <c r="D181" s="20"/>
      <c r="E181" s="20"/>
      <c r="F181" s="20"/>
      <c r="G181" s="14" t="s">
        <v>1373</v>
      </c>
      <c r="H181" s="9" t="s">
        <v>1374</v>
      </c>
      <c r="I181" s="43"/>
      <c r="J181" s="43"/>
      <c r="K181" s="43"/>
    </row>
    <row r="182" customFormat="false" ht="21.75" hidden="false" customHeight="true" outlineLevel="0" collapsed="false">
      <c r="A182" s="20"/>
      <c r="B182" s="20"/>
      <c r="C182" s="20"/>
      <c r="D182" s="20"/>
      <c r="E182" s="20"/>
      <c r="F182" s="20"/>
      <c r="G182" s="14" t="s">
        <v>1375</v>
      </c>
      <c r="H182" s="9" t="s">
        <v>1376</v>
      </c>
      <c r="I182" s="43"/>
      <c r="J182" s="43"/>
      <c r="K182" s="43"/>
    </row>
    <row r="183" customFormat="false" ht="21.75" hidden="false" customHeight="true" outlineLevel="0" collapsed="false">
      <c r="A183" s="20"/>
      <c r="B183" s="20"/>
      <c r="C183" s="20"/>
      <c r="D183" s="20"/>
      <c r="E183" s="20"/>
      <c r="F183" s="20"/>
      <c r="G183" s="14" t="s">
        <v>1377</v>
      </c>
      <c r="H183" s="9" t="s">
        <v>1378</v>
      </c>
      <c r="I183" s="43"/>
      <c r="J183" s="43"/>
      <c r="K183" s="43"/>
    </row>
    <row r="184" customFormat="false" ht="21.75" hidden="false" customHeight="true" outlineLevel="0" collapsed="false">
      <c r="A184" s="20"/>
      <c r="B184" s="20"/>
      <c r="C184" s="20"/>
      <c r="D184" s="20"/>
      <c r="E184" s="20"/>
      <c r="F184" s="20"/>
      <c r="G184" s="14" t="s">
        <v>1379</v>
      </c>
      <c r="H184" s="9" t="s">
        <v>1380</v>
      </c>
      <c r="I184" s="43"/>
      <c r="J184" s="43"/>
      <c r="K184" s="43"/>
    </row>
    <row r="185" customFormat="false" ht="21.75" hidden="false" customHeight="true" outlineLevel="0" collapsed="false">
      <c r="A185" s="20" t="s">
        <v>671</v>
      </c>
      <c r="B185" s="29" t="s">
        <v>1031</v>
      </c>
      <c r="C185" s="40" t="s">
        <v>1032</v>
      </c>
      <c r="D185" s="30" t="s">
        <v>971</v>
      </c>
      <c r="E185" s="41" t="n">
        <f aca="false">M20</f>
        <v>10</v>
      </c>
      <c r="F185" s="42" t="str">
        <f aca="false">IF(E185&gt;=10,"★★★ 核心",IF(E185&gt;=5,"★★ 辅助",IF(E185&gt;=2,"★ 补充","· 可跳过")))</f>
        <v>★★★ 核心</v>
      </c>
      <c r="G185" s="14" t="s">
        <v>1381</v>
      </c>
      <c r="H185" s="9" t="s">
        <v>1382</v>
      </c>
      <c r="I185" s="43" t="str">
        <f aca="false">$F$20</f>
        <v>digital-oracle(narrative scan) · macro-global-monthly</v>
      </c>
      <c r="J185" s="44" t="str">
        <f aca="false">$G$20</f>
        <v>舆情 / Polymarket / 资产价格</v>
      </c>
      <c r="K185" s="44" t="str">
        <f aca="false">$E$20</f>
        <v>无叙事的价值股</v>
      </c>
    </row>
    <row r="186" customFormat="false" ht="21.75" hidden="false" customHeight="true" outlineLevel="0" collapsed="false">
      <c r="A186" s="20"/>
      <c r="B186" s="20"/>
      <c r="C186" s="20"/>
      <c r="D186" s="20"/>
      <c r="E186" s="20"/>
      <c r="F186" s="20"/>
      <c r="G186" s="14" t="s">
        <v>1383</v>
      </c>
      <c r="H186" s="9" t="s">
        <v>1384</v>
      </c>
      <c r="I186" s="43"/>
      <c r="J186" s="43"/>
      <c r="K186" s="43"/>
    </row>
    <row r="187" customFormat="false" ht="21.75" hidden="false" customHeight="true" outlineLevel="0" collapsed="false">
      <c r="A187" s="20"/>
      <c r="B187" s="20"/>
      <c r="C187" s="20"/>
      <c r="D187" s="20"/>
      <c r="E187" s="20"/>
      <c r="F187" s="20"/>
      <c r="G187" s="14" t="s">
        <v>1385</v>
      </c>
      <c r="H187" s="9" t="s">
        <v>1386</v>
      </c>
      <c r="I187" s="43"/>
      <c r="J187" s="43"/>
      <c r="K187" s="43"/>
    </row>
    <row r="188" customFormat="false" ht="21.75" hidden="false" customHeight="true" outlineLevel="0" collapsed="false">
      <c r="A188" s="20"/>
      <c r="B188" s="20"/>
      <c r="C188" s="20"/>
      <c r="D188" s="20"/>
      <c r="E188" s="20"/>
      <c r="F188" s="20"/>
      <c r="G188" s="14" t="s">
        <v>1387</v>
      </c>
      <c r="H188" s="9" t="s">
        <v>1388</v>
      </c>
      <c r="I188" s="43"/>
      <c r="J188" s="43"/>
      <c r="K188" s="43"/>
    </row>
    <row r="189" customFormat="false" ht="21.75" hidden="false" customHeight="true" outlineLevel="0" collapsed="false">
      <c r="A189" s="20"/>
      <c r="B189" s="20"/>
      <c r="C189" s="20"/>
      <c r="D189" s="20"/>
      <c r="E189" s="20"/>
      <c r="F189" s="20"/>
      <c r="G189" s="14" t="s">
        <v>1389</v>
      </c>
      <c r="H189" s="9" t="s">
        <v>1350</v>
      </c>
      <c r="I189" s="43"/>
      <c r="J189" s="43"/>
      <c r="K189" s="43"/>
    </row>
    <row r="190" customFormat="false" ht="21.75" hidden="false" customHeight="true" outlineLevel="0" collapsed="false">
      <c r="A190" s="20" t="s">
        <v>671</v>
      </c>
      <c r="B190" s="29" t="s">
        <v>1037</v>
      </c>
      <c r="C190" s="40" t="s">
        <v>1038</v>
      </c>
      <c r="D190" s="30" t="s">
        <v>971</v>
      </c>
      <c r="E190" s="41" t="n">
        <f aca="false">M21</f>
        <v>16</v>
      </c>
      <c r="F190" s="42" t="str">
        <f aca="false">IF(E190&gt;=10,"★★★ 核心",IF(E190&gt;=5,"★★ 辅助",IF(E190&gt;=2,"★ 补充","· 可跳过")))</f>
        <v>★★★ 核心</v>
      </c>
      <c r="G190" s="14" t="s">
        <v>1390</v>
      </c>
      <c r="H190" s="9" t="s">
        <v>1391</v>
      </c>
      <c r="I190" s="43" t="str">
        <f aca="false">$F$21</f>
        <v>equity-onepager-interactive(筹码龄) · digital-oracle · kline-reviewer</v>
      </c>
      <c r="J190" s="44" t="str">
        <f aca="false">$G$21</f>
        <v>iFind筹码 / 同花顺 / 龙虎榜</v>
      </c>
      <c r="K190" s="44" t="str">
        <f aca="false">$E$21</f>
        <v>流动性极差标的</v>
      </c>
    </row>
    <row r="191" customFormat="false" ht="21.75" hidden="false" customHeight="true" outlineLevel="0" collapsed="false">
      <c r="A191" s="20"/>
      <c r="B191" s="20"/>
      <c r="C191" s="20"/>
      <c r="D191" s="20"/>
      <c r="E191" s="20"/>
      <c r="F191" s="20"/>
      <c r="G191" s="14" t="s">
        <v>1392</v>
      </c>
      <c r="H191" s="9" t="s">
        <v>1393</v>
      </c>
      <c r="I191" s="43"/>
      <c r="J191" s="43"/>
      <c r="K191" s="43"/>
    </row>
    <row r="192" customFormat="false" ht="21.75" hidden="false" customHeight="true" outlineLevel="0" collapsed="false">
      <c r="A192" s="20"/>
      <c r="B192" s="20"/>
      <c r="C192" s="20"/>
      <c r="D192" s="20"/>
      <c r="E192" s="20"/>
      <c r="F192" s="20"/>
      <c r="G192" s="14" t="s">
        <v>1394</v>
      </c>
      <c r="H192" s="9" t="s">
        <v>1395</v>
      </c>
      <c r="I192" s="43"/>
      <c r="J192" s="43"/>
      <c r="K192" s="43"/>
    </row>
    <row r="193" customFormat="false" ht="21.75" hidden="false" customHeight="true" outlineLevel="0" collapsed="false">
      <c r="A193" s="20"/>
      <c r="B193" s="20"/>
      <c r="C193" s="20"/>
      <c r="D193" s="20"/>
      <c r="E193" s="20"/>
      <c r="F193" s="20"/>
      <c r="G193" s="14" t="s">
        <v>1396</v>
      </c>
      <c r="H193" s="9" t="s">
        <v>1397</v>
      </c>
      <c r="I193" s="43"/>
      <c r="J193" s="43"/>
      <c r="K193" s="43"/>
    </row>
    <row r="194" customFormat="false" ht="21.75" hidden="false" customHeight="true" outlineLevel="0" collapsed="false">
      <c r="A194" s="20"/>
      <c r="B194" s="20"/>
      <c r="C194" s="20"/>
      <c r="D194" s="20"/>
      <c r="E194" s="20"/>
      <c r="F194" s="20"/>
      <c r="G194" s="14" t="s">
        <v>1398</v>
      </c>
      <c r="H194" s="9" t="s">
        <v>1399</v>
      </c>
      <c r="I194" s="43"/>
      <c r="J194" s="43"/>
      <c r="K194" s="43"/>
    </row>
    <row r="195" customFormat="false" ht="21.75" hidden="false" customHeight="true" outlineLevel="0" collapsed="false">
      <c r="A195" s="20" t="s">
        <v>671</v>
      </c>
      <c r="B195" s="29" t="s">
        <v>1043</v>
      </c>
      <c r="C195" s="40" t="s">
        <v>1161</v>
      </c>
      <c r="D195" s="30" t="s">
        <v>973</v>
      </c>
      <c r="E195" s="41" t="n">
        <f aca="false">M22</f>
        <v>10</v>
      </c>
      <c r="F195" s="42" t="str">
        <f aca="false">IF(E195&gt;=10,"★★★ 核心",IF(E195&gt;=5,"★★ 辅助",IF(E195&gt;=2,"★ 补充","· 可跳过")))</f>
        <v>★★★ 核心</v>
      </c>
      <c r="G195" s="14" t="s">
        <v>1400</v>
      </c>
      <c r="H195" s="9" t="s">
        <v>1401</v>
      </c>
      <c r="I195" s="43" t="str">
        <f aca="false">$F$22</f>
        <v>stock-catalyst-review · digital-oracle(历史类比) · alt-conviction-builder</v>
      </c>
      <c r="J195" s="44" t="str">
        <f aca="false">$G$22</f>
        <v>历史价格 / IBKR / AKShare</v>
      </c>
      <c r="K195" s="44" t="str">
        <f aca="false">$E$22</f>
        <v>Regime切换后样本失效</v>
      </c>
    </row>
    <row r="196" customFormat="false" ht="21.75" hidden="false" customHeight="true" outlineLevel="0" collapsed="false">
      <c r="A196" s="20"/>
      <c r="B196" s="20"/>
      <c r="C196" s="20"/>
      <c r="D196" s="20"/>
      <c r="E196" s="20"/>
      <c r="F196" s="20"/>
      <c r="G196" s="14" t="s">
        <v>1402</v>
      </c>
      <c r="H196" s="9" t="s">
        <v>1286</v>
      </c>
      <c r="I196" s="43"/>
      <c r="J196" s="43"/>
      <c r="K196" s="43"/>
    </row>
    <row r="197" customFormat="false" ht="21.75" hidden="false" customHeight="true" outlineLevel="0" collapsed="false">
      <c r="A197" s="20"/>
      <c r="B197" s="20"/>
      <c r="C197" s="20"/>
      <c r="D197" s="20"/>
      <c r="E197" s="20"/>
      <c r="F197" s="20"/>
      <c r="G197" s="14" t="s">
        <v>1403</v>
      </c>
      <c r="H197" s="9" t="s">
        <v>1404</v>
      </c>
      <c r="I197" s="43"/>
      <c r="J197" s="43"/>
      <c r="K197" s="43"/>
    </row>
    <row r="198" customFormat="false" ht="21.75" hidden="false" customHeight="true" outlineLevel="0" collapsed="false">
      <c r="A198" s="20"/>
      <c r="B198" s="20"/>
      <c r="C198" s="20"/>
      <c r="D198" s="20"/>
      <c r="E198" s="20"/>
      <c r="F198" s="20"/>
      <c r="G198" s="14" t="s">
        <v>1405</v>
      </c>
      <c r="H198" s="9" t="s">
        <v>1406</v>
      </c>
      <c r="I198" s="43"/>
      <c r="J198" s="43"/>
      <c r="K198" s="43"/>
    </row>
    <row r="199" customFormat="false" ht="21.75" hidden="false" customHeight="true" outlineLevel="0" collapsed="false">
      <c r="A199" s="20"/>
      <c r="B199" s="20"/>
      <c r="C199" s="20"/>
      <c r="D199" s="20"/>
      <c r="E199" s="20"/>
      <c r="F199" s="20"/>
      <c r="G199" s="14" t="s">
        <v>1407</v>
      </c>
      <c r="H199" s="9" t="s">
        <v>1408</v>
      </c>
      <c r="I199" s="43"/>
      <c r="J199" s="43"/>
      <c r="K199" s="43"/>
    </row>
    <row r="200" customFormat="false" ht="21.75" hidden="false" customHeight="true" outlineLevel="0" collapsed="false">
      <c r="A200" s="20" t="s">
        <v>671</v>
      </c>
      <c r="B200" s="29" t="s">
        <v>1049</v>
      </c>
      <c r="C200" s="40" t="s">
        <v>1050</v>
      </c>
      <c r="D200" s="30" t="s">
        <v>973</v>
      </c>
      <c r="E200" s="41" t="n">
        <f aca="false">M23</f>
        <v>25</v>
      </c>
      <c r="F200" s="42" t="str">
        <f aca="false">IF(E200&gt;=10,"★★★ 核心",IF(E200&gt;=5,"★★ 辅助",IF(E200&gt;=2,"★ 补充","· 可跳过")))</f>
        <v>★★★ 核心</v>
      </c>
      <c r="G200" s="14" t="s">
        <v>1409</v>
      </c>
      <c r="H200" s="9" t="s">
        <v>1410</v>
      </c>
      <c r="I200" s="43" t="str">
        <f aca="false">$F$23</f>
        <v>stock-catalyst-review · catalyst-5m3t-deep-dive · chain-final-analysis(P6)</v>
      </c>
      <c r="J200" s="44" t="str">
        <f aca="false">$G$23</f>
        <v>公司公告 / 招标网 / 政策日历</v>
      </c>
      <c r="K200" s="44" t="str">
        <f aca="false">$E$23</f>
        <v>无事件驱动的慢变量</v>
      </c>
    </row>
    <row r="201" customFormat="false" ht="21.75" hidden="false" customHeight="true" outlineLevel="0" collapsed="false">
      <c r="A201" s="20"/>
      <c r="B201" s="20"/>
      <c r="C201" s="20"/>
      <c r="D201" s="20"/>
      <c r="E201" s="20"/>
      <c r="F201" s="20"/>
      <c r="G201" s="14" t="s">
        <v>1411</v>
      </c>
      <c r="H201" s="9" t="s">
        <v>1412</v>
      </c>
      <c r="I201" s="43"/>
      <c r="J201" s="43"/>
      <c r="K201" s="43"/>
    </row>
    <row r="202" customFormat="false" ht="21.75" hidden="false" customHeight="true" outlineLevel="0" collapsed="false">
      <c r="A202" s="20"/>
      <c r="B202" s="20"/>
      <c r="C202" s="20"/>
      <c r="D202" s="20"/>
      <c r="E202" s="20"/>
      <c r="F202" s="20"/>
      <c r="G202" s="14" t="s">
        <v>1413</v>
      </c>
      <c r="H202" s="9" t="s">
        <v>1414</v>
      </c>
      <c r="I202" s="43"/>
      <c r="J202" s="43"/>
      <c r="K202" s="43"/>
    </row>
    <row r="203" customFormat="false" ht="21.75" hidden="false" customHeight="true" outlineLevel="0" collapsed="false">
      <c r="A203" s="20"/>
      <c r="B203" s="20"/>
      <c r="C203" s="20"/>
      <c r="D203" s="20"/>
      <c r="E203" s="20"/>
      <c r="F203" s="20"/>
      <c r="G203" s="14" t="s">
        <v>1415</v>
      </c>
      <c r="H203" s="9" t="s">
        <v>1416</v>
      </c>
      <c r="I203" s="43"/>
      <c r="J203" s="43"/>
      <c r="K203" s="43"/>
    </row>
    <row r="204" customFormat="false" ht="21.75" hidden="false" customHeight="true" outlineLevel="0" collapsed="false">
      <c r="A204" s="20"/>
      <c r="B204" s="20"/>
      <c r="C204" s="20"/>
      <c r="D204" s="20"/>
      <c r="E204" s="20"/>
      <c r="F204" s="20"/>
      <c r="G204" s="14" t="s">
        <v>1417</v>
      </c>
      <c r="H204" s="9" t="s">
        <v>1350</v>
      </c>
      <c r="I204" s="43"/>
      <c r="J204" s="43"/>
      <c r="K204" s="43"/>
    </row>
    <row r="205" customFormat="false" ht="21.75" hidden="false" customHeight="true" outlineLevel="0" collapsed="false">
      <c r="A205" s="20" t="s">
        <v>671</v>
      </c>
      <c r="B205" s="29" t="s">
        <v>1055</v>
      </c>
      <c r="C205" s="40" t="s">
        <v>1182</v>
      </c>
      <c r="D205" s="30" t="s">
        <v>973</v>
      </c>
      <c r="E205" s="41" t="n">
        <f aca="false">M24</f>
        <v>15</v>
      </c>
      <c r="F205" s="42" t="str">
        <f aca="false">IF(E205&gt;=10,"★★★ 核心",IF(E205&gt;=5,"★★ 辅助",IF(E205&gt;=2,"★ 补充","· 可跳过")))</f>
        <v>★★★ 核心</v>
      </c>
      <c r="G205" s="14" t="s">
        <v>1418</v>
      </c>
      <c r="H205" s="15" t="s">
        <v>1419</v>
      </c>
      <c r="I205" s="43" t="str">
        <f aca="false">$F$24</f>
        <v>alt-conviction-builder · digital-oracle · weekly-stock-review</v>
      </c>
      <c r="J205" s="44" t="str">
        <f aca="false">$G$24</f>
        <v>Yahoo / Binance / 商品期货</v>
      </c>
      <c r="K205" s="44" t="str">
        <f aca="false">$E$24</f>
        <v>相关性历史上不稳定</v>
      </c>
    </row>
    <row r="206" customFormat="false" ht="21.75" hidden="false" customHeight="true" outlineLevel="0" collapsed="false">
      <c r="A206" s="20"/>
      <c r="B206" s="20"/>
      <c r="C206" s="20"/>
      <c r="D206" s="20"/>
      <c r="E206" s="20"/>
      <c r="F206" s="20"/>
      <c r="G206" s="14" t="s">
        <v>1420</v>
      </c>
      <c r="H206" s="9" t="s">
        <v>1421</v>
      </c>
      <c r="I206" s="43"/>
      <c r="J206" s="43"/>
      <c r="K206" s="43"/>
    </row>
    <row r="207" customFormat="false" ht="21.75" hidden="false" customHeight="true" outlineLevel="0" collapsed="false">
      <c r="A207" s="20"/>
      <c r="B207" s="20"/>
      <c r="C207" s="20"/>
      <c r="D207" s="20"/>
      <c r="E207" s="20"/>
      <c r="F207" s="20"/>
      <c r="G207" s="14" t="s">
        <v>1422</v>
      </c>
      <c r="H207" s="9" t="s">
        <v>1423</v>
      </c>
      <c r="I207" s="43"/>
      <c r="J207" s="43"/>
      <c r="K207" s="43"/>
    </row>
    <row r="208" customFormat="false" ht="21.75" hidden="false" customHeight="true" outlineLevel="0" collapsed="false">
      <c r="A208" s="20"/>
      <c r="B208" s="20"/>
      <c r="C208" s="20"/>
      <c r="D208" s="20"/>
      <c r="E208" s="20"/>
      <c r="F208" s="20"/>
      <c r="G208" s="14" t="s">
        <v>1424</v>
      </c>
      <c r="H208" s="9" t="s">
        <v>1278</v>
      </c>
      <c r="I208" s="43"/>
      <c r="J208" s="43"/>
      <c r="K208" s="43"/>
    </row>
    <row r="209" customFormat="false" ht="21.75" hidden="false" customHeight="true" outlineLevel="0" collapsed="false">
      <c r="A209" s="20"/>
      <c r="B209" s="20"/>
      <c r="C209" s="20"/>
      <c r="D209" s="20"/>
      <c r="E209" s="20"/>
      <c r="F209" s="20"/>
      <c r="G209" s="14" t="s">
        <v>1425</v>
      </c>
      <c r="H209" s="9" t="s">
        <v>1426</v>
      </c>
      <c r="I209" s="43"/>
      <c r="J209" s="43"/>
      <c r="K209" s="43"/>
    </row>
  </sheetData>
  <autoFilter ref="A29:K209"/>
  <mergeCells count="327">
    <mergeCell ref="A4:K4"/>
    <mergeCell ref="A11:K11"/>
    <mergeCell ref="A28:K28"/>
    <mergeCell ref="A30:A34"/>
    <mergeCell ref="B30:B34"/>
    <mergeCell ref="C30:C34"/>
    <mergeCell ref="D30:D34"/>
    <mergeCell ref="E30:E34"/>
    <mergeCell ref="F30:F34"/>
    <mergeCell ref="I30:I34"/>
    <mergeCell ref="J30:J34"/>
    <mergeCell ref="K30:K34"/>
    <mergeCell ref="A35:A39"/>
    <mergeCell ref="B35:B39"/>
    <mergeCell ref="C35:C39"/>
    <mergeCell ref="D35:D39"/>
    <mergeCell ref="E35:E39"/>
    <mergeCell ref="F35:F39"/>
    <mergeCell ref="I35:I39"/>
    <mergeCell ref="J35:J39"/>
    <mergeCell ref="K35:K39"/>
    <mergeCell ref="A40:A44"/>
    <mergeCell ref="B40:B44"/>
    <mergeCell ref="C40:C44"/>
    <mergeCell ref="D40:D44"/>
    <mergeCell ref="E40:E44"/>
    <mergeCell ref="F40:F44"/>
    <mergeCell ref="I40:I44"/>
    <mergeCell ref="J40:J44"/>
    <mergeCell ref="K40:K44"/>
    <mergeCell ref="A45:A49"/>
    <mergeCell ref="B45:B49"/>
    <mergeCell ref="C45:C49"/>
    <mergeCell ref="D45:D49"/>
    <mergeCell ref="E45:E49"/>
    <mergeCell ref="F45:F49"/>
    <mergeCell ref="I45:I49"/>
    <mergeCell ref="J45:J49"/>
    <mergeCell ref="K45:K49"/>
    <mergeCell ref="A50:A54"/>
    <mergeCell ref="B50:B54"/>
    <mergeCell ref="C50:C54"/>
    <mergeCell ref="D50:D54"/>
    <mergeCell ref="E50:E54"/>
    <mergeCell ref="F50:F54"/>
    <mergeCell ref="I50:I54"/>
    <mergeCell ref="J50:J54"/>
    <mergeCell ref="K50:K54"/>
    <mergeCell ref="A55:A59"/>
    <mergeCell ref="B55:B59"/>
    <mergeCell ref="C55:C59"/>
    <mergeCell ref="D55:D59"/>
    <mergeCell ref="E55:E59"/>
    <mergeCell ref="F55:F59"/>
    <mergeCell ref="I55:I59"/>
    <mergeCell ref="J55:J59"/>
    <mergeCell ref="K55:K59"/>
    <mergeCell ref="A60:A64"/>
    <mergeCell ref="B60:B64"/>
    <mergeCell ref="C60:C64"/>
    <mergeCell ref="D60:D64"/>
    <mergeCell ref="E60:E64"/>
    <mergeCell ref="F60:F64"/>
    <mergeCell ref="I60:I64"/>
    <mergeCell ref="J60:J64"/>
    <mergeCell ref="K60:K64"/>
    <mergeCell ref="A65:A69"/>
    <mergeCell ref="B65:B69"/>
    <mergeCell ref="C65:C69"/>
    <mergeCell ref="D65:D69"/>
    <mergeCell ref="E65:E69"/>
    <mergeCell ref="F65:F69"/>
    <mergeCell ref="I65:I69"/>
    <mergeCell ref="J65:J69"/>
    <mergeCell ref="K65:K69"/>
    <mergeCell ref="A70:A74"/>
    <mergeCell ref="B70:B74"/>
    <mergeCell ref="C70:C74"/>
    <mergeCell ref="D70:D74"/>
    <mergeCell ref="E70:E74"/>
    <mergeCell ref="F70:F74"/>
    <mergeCell ref="I70:I74"/>
    <mergeCell ref="J70:J74"/>
    <mergeCell ref="K70:K74"/>
    <mergeCell ref="A75:A79"/>
    <mergeCell ref="B75:B79"/>
    <mergeCell ref="C75:C79"/>
    <mergeCell ref="D75:D79"/>
    <mergeCell ref="E75:E79"/>
    <mergeCell ref="F75:F79"/>
    <mergeCell ref="I75:I79"/>
    <mergeCell ref="J75:J79"/>
    <mergeCell ref="K75:K79"/>
    <mergeCell ref="A80:A84"/>
    <mergeCell ref="B80:B84"/>
    <mergeCell ref="C80:C84"/>
    <mergeCell ref="D80:D84"/>
    <mergeCell ref="E80:E84"/>
    <mergeCell ref="F80:F84"/>
    <mergeCell ref="I80:I84"/>
    <mergeCell ref="J80:J84"/>
    <mergeCell ref="K80:K84"/>
    <mergeCell ref="A85:A89"/>
    <mergeCell ref="B85:B89"/>
    <mergeCell ref="C85:C89"/>
    <mergeCell ref="D85:D89"/>
    <mergeCell ref="E85:E89"/>
    <mergeCell ref="F85:F89"/>
    <mergeCell ref="I85:I89"/>
    <mergeCell ref="J85:J89"/>
    <mergeCell ref="K85:K89"/>
    <mergeCell ref="A90:A94"/>
    <mergeCell ref="B90:B94"/>
    <mergeCell ref="C90:C94"/>
    <mergeCell ref="D90:D94"/>
    <mergeCell ref="E90:E94"/>
    <mergeCell ref="F90:F94"/>
    <mergeCell ref="I90:I94"/>
    <mergeCell ref="J90:J94"/>
    <mergeCell ref="K90:K94"/>
    <mergeCell ref="A95:A99"/>
    <mergeCell ref="B95:B99"/>
    <mergeCell ref="C95:C99"/>
    <mergeCell ref="D95:D99"/>
    <mergeCell ref="E95:E99"/>
    <mergeCell ref="F95:F99"/>
    <mergeCell ref="I95:I99"/>
    <mergeCell ref="J95:J99"/>
    <mergeCell ref="K95:K99"/>
    <mergeCell ref="A100:A104"/>
    <mergeCell ref="B100:B104"/>
    <mergeCell ref="C100:C104"/>
    <mergeCell ref="D100:D104"/>
    <mergeCell ref="E100:E104"/>
    <mergeCell ref="F100:F104"/>
    <mergeCell ref="I100:I104"/>
    <mergeCell ref="J100:J104"/>
    <mergeCell ref="K100:K104"/>
    <mergeCell ref="A105:A109"/>
    <mergeCell ref="B105:B109"/>
    <mergeCell ref="C105:C109"/>
    <mergeCell ref="D105:D109"/>
    <mergeCell ref="E105:E109"/>
    <mergeCell ref="F105:F109"/>
    <mergeCell ref="I105:I109"/>
    <mergeCell ref="J105:J109"/>
    <mergeCell ref="K105:K109"/>
    <mergeCell ref="A110:A114"/>
    <mergeCell ref="B110:B114"/>
    <mergeCell ref="C110:C114"/>
    <mergeCell ref="D110:D114"/>
    <mergeCell ref="E110:E114"/>
    <mergeCell ref="F110:F114"/>
    <mergeCell ref="I110:I114"/>
    <mergeCell ref="J110:J114"/>
    <mergeCell ref="K110:K114"/>
    <mergeCell ref="A115:A119"/>
    <mergeCell ref="B115:B119"/>
    <mergeCell ref="C115:C119"/>
    <mergeCell ref="D115:D119"/>
    <mergeCell ref="E115:E119"/>
    <mergeCell ref="F115:F119"/>
    <mergeCell ref="I115:I119"/>
    <mergeCell ref="J115:J119"/>
    <mergeCell ref="K115:K119"/>
    <mergeCell ref="A120:A124"/>
    <mergeCell ref="B120:B124"/>
    <mergeCell ref="C120:C124"/>
    <mergeCell ref="D120:D124"/>
    <mergeCell ref="E120:E124"/>
    <mergeCell ref="F120:F124"/>
    <mergeCell ref="I120:I124"/>
    <mergeCell ref="J120:J124"/>
    <mergeCell ref="K120:K124"/>
    <mergeCell ref="A125:A129"/>
    <mergeCell ref="B125:B129"/>
    <mergeCell ref="C125:C129"/>
    <mergeCell ref="D125:D129"/>
    <mergeCell ref="E125:E129"/>
    <mergeCell ref="F125:F129"/>
    <mergeCell ref="I125:I129"/>
    <mergeCell ref="J125:J129"/>
    <mergeCell ref="K125:K129"/>
    <mergeCell ref="A130:A134"/>
    <mergeCell ref="B130:B134"/>
    <mergeCell ref="C130:C134"/>
    <mergeCell ref="D130:D134"/>
    <mergeCell ref="E130:E134"/>
    <mergeCell ref="F130:F134"/>
    <mergeCell ref="I130:I134"/>
    <mergeCell ref="J130:J134"/>
    <mergeCell ref="K130:K134"/>
    <mergeCell ref="A135:A139"/>
    <mergeCell ref="B135:B139"/>
    <mergeCell ref="C135:C139"/>
    <mergeCell ref="D135:D139"/>
    <mergeCell ref="E135:E139"/>
    <mergeCell ref="F135:F139"/>
    <mergeCell ref="I135:I139"/>
    <mergeCell ref="J135:J139"/>
    <mergeCell ref="K135:K139"/>
    <mergeCell ref="A140:A144"/>
    <mergeCell ref="B140:B144"/>
    <mergeCell ref="C140:C144"/>
    <mergeCell ref="D140:D144"/>
    <mergeCell ref="E140:E144"/>
    <mergeCell ref="F140:F144"/>
    <mergeCell ref="I140:I144"/>
    <mergeCell ref="J140:J144"/>
    <mergeCell ref="K140:K144"/>
    <mergeCell ref="A145:A149"/>
    <mergeCell ref="B145:B149"/>
    <mergeCell ref="C145:C149"/>
    <mergeCell ref="D145:D149"/>
    <mergeCell ref="E145:E149"/>
    <mergeCell ref="F145:F149"/>
    <mergeCell ref="I145:I149"/>
    <mergeCell ref="J145:J149"/>
    <mergeCell ref="K145:K149"/>
    <mergeCell ref="A150:A154"/>
    <mergeCell ref="B150:B154"/>
    <mergeCell ref="C150:C154"/>
    <mergeCell ref="D150:D154"/>
    <mergeCell ref="E150:E154"/>
    <mergeCell ref="F150:F154"/>
    <mergeCell ref="I150:I154"/>
    <mergeCell ref="J150:J154"/>
    <mergeCell ref="K150:K154"/>
    <mergeCell ref="A155:A159"/>
    <mergeCell ref="B155:B159"/>
    <mergeCell ref="C155:C159"/>
    <mergeCell ref="D155:D159"/>
    <mergeCell ref="E155:E159"/>
    <mergeCell ref="F155:F159"/>
    <mergeCell ref="I155:I159"/>
    <mergeCell ref="J155:J159"/>
    <mergeCell ref="K155:K159"/>
    <mergeCell ref="A160:A164"/>
    <mergeCell ref="B160:B164"/>
    <mergeCell ref="C160:C164"/>
    <mergeCell ref="D160:D164"/>
    <mergeCell ref="E160:E164"/>
    <mergeCell ref="F160:F164"/>
    <mergeCell ref="I160:I164"/>
    <mergeCell ref="J160:J164"/>
    <mergeCell ref="K160:K164"/>
    <mergeCell ref="A165:A169"/>
    <mergeCell ref="B165:B169"/>
    <mergeCell ref="C165:C169"/>
    <mergeCell ref="D165:D169"/>
    <mergeCell ref="E165:E169"/>
    <mergeCell ref="F165:F169"/>
    <mergeCell ref="I165:I169"/>
    <mergeCell ref="J165:J169"/>
    <mergeCell ref="K165:K169"/>
    <mergeCell ref="A170:A174"/>
    <mergeCell ref="B170:B174"/>
    <mergeCell ref="C170:C174"/>
    <mergeCell ref="D170:D174"/>
    <mergeCell ref="E170:E174"/>
    <mergeCell ref="F170:F174"/>
    <mergeCell ref="I170:I174"/>
    <mergeCell ref="J170:J174"/>
    <mergeCell ref="K170:K174"/>
    <mergeCell ref="A175:A179"/>
    <mergeCell ref="B175:B179"/>
    <mergeCell ref="C175:C179"/>
    <mergeCell ref="D175:D179"/>
    <mergeCell ref="E175:E179"/>
    <mergeCell ref="F175:F179"/>
    <mergeCell ref="I175:I179"/>
    <mergeCell ref="J175:J179"/>
    <mergeCell ref="K175:K179"/>
    <mergeCell ref="A180:A184"/>
    <mergeCell ref="B180:B184"/>
    <mergeCell ref="C180:C184"/>
    <mergeCell ref="D180:D184"/>
    <mergeCell ref="E180:E184"/>
    <mergeCell ref="F180:F184"/>
    <mergeCell ref="I180:I184"/>
    <mergeCell ref="J180:J184"/>
    <mergeCell ref="K180:K184"/>
    <mergeCell ref="A185:A189"/>
    <mergeCell ref="B185:B189"/>
    <mergeCell ref="C185:C189"/>
    <mergeCell ref="D185:D189"/>
    <mergeCell ref="E185:E189"/>
    <mergeCell ref="F185:F189"/>
    <mergeCell ref="I185:I189"/>
    <mergeCell ref="J185:J189"/>
    <mergeCell ref="K185:K189"/>
    <mergeCell ref="A190:A194"/>
    <mergeCell ref="B190:B194"/>
    <mergeCell ref="C190:C194"/>
    <mergeCell ref="D190:D194"/>
    <mergeCell ref="E190:E194"/>
    <mergeCell ref="F190:F194"/>
    <mergeCell ref="I190:I194"/>
    <mergeCell ref="J190:J194"/>
    <mergeCell ref="K190:K194"/>
    <mergeCell ref="A195:A199"/>
    <mergeCell ref="B195:B199"/>
    <mergeCell ref="C195:C199"/>
    <mergeCell ref="D195:D199"/>
    <mergeCell ref="E195:E199"/>
    <mergeCell ref="F195:F199"/>
    <mergeCell ref="I195:I199"/>
    <mergeCell ref="J195:J199"/>
    <mergeCell ref="K195:K199"/>
    <mergeCell ref="A200:A204"/>
    <mergeCell ref="B200:B204"/>
    <mergeCell ref="C200:C204"/>
    <mergeCell ref="D200:D204"/>
    <mergeCell ref="E200:E204"/>
    <mergeCell ref="F200:F204"/>
    <mergeCell ref="I200:I204"/>
    <mergeCell ref="J200:J204"/>
    <mergeCell ref="K200:K204"/>
    <mergeCell ref="A205:A209"/>
    <mergeCell ref="B205:B209"/>
    <mergeCell ref="C205:C209"/>
    <mergeCell ref="D205:D209"/>
    <mergeCell ref="E205:E209"/>
    <mergeCell ref="F205:F209"/>
    <mergeCell ref="I205:I209"/>
    <mergeCell ref="J205:J209"/>
    <mergeCell ref="K205:K209"/>
  </mergeCells>
  <conditionalFormatting sqref="K13:M24">
    <cfRule type="colorScale" priority="2">
      <colorScale>
        <cfvo type="num" val="0"/>
        <cfvo type="num" val="8"/>
        <cfvo type="num" val="25"/>
        <color rgb="FFFFFFFF"/>
        <color rgb="FFFFD966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7" min="5" style="0" width="26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20.1" hidden="false" customHeight="false" outlineLevel="0" collapsed="false">
      <c r="A1" s="1" t="s">
        <v>1427</v>
      </c>
    </row>
    <row r="2" customFormat="false" ht="15" hidden="false" customHeight="false" outlineLevel="0" collapsed="false">
      <c r="A2" s="2" t="s">
        <v>1428</v>
      </c>
    </row>
    <row r="4" customFormat="false" ht="19.5" hidden="false" customHeight="true" outlineLevel="0" collapsed="false">
      <c r="A4" s="45" t="s">
        <v>1429</v>
      </c>
      <c r="B4" s="45"/>
      <c r="C4" s="45"/>
      <c r="D4" s="45"/>
      <c r="E4" s="45"/>
      <c r="F4" s="45"/>
      <c r="G4" s="45"/>
    </row>
    <row r="5" customFormat="false" ht="24" hidden="false" customHeight="true" outlineLevel="0" collapsed="false">
      <c r="A5" s="27" t="s">
        <v>1430</v>
      </c>
      <c r="B5" s="8" t="s">
        <v>1431</v>
      </c>
      <c r="C5" s="8"/>
      <c r="D5" s="8"/>
      <c r="E5" s="8"/>
      <c r="F5" s="8"/>
      <c r="G5" s="8"/>
    </row>
    <row r="6" customFormat="false" ht="24" hidden="false" customHeight="true" outlineLevel="0" collapsed="false">
      <c r="A6" s="27" t="s">
        <v>1432</v>
      </c>
      <c r="B6" s="14" t="s">
        <v>1433</v>
      </c>
      <c r="C6" s="14"/>
      <c r="D6" s="14"/>
      <c r="E6" s="14"/>
      <c r="F6" s="14"/>
      <c r="G6" s="14"/>
    </row>
    <row r="7" customFormat="false" ht="24" hidden="false" customHeight="true" outlineLevel="0" collapsed="false">
      <c r="A7" s="27" t="s">
        <v>1434</v>
      </c>
      <c r="B7" s="8" t="s">
        <v>1435</v>
      </c>
      <c r="C7" s="8"/>
      <c r="D7" s="8"/>
      <c r="E7" s="8"/>
      <c r="F7" s="8"/>
      <c r="G7" s="8"/>
    </row>
    <row r="8" customFormat="false" ht="24" hidden="false" customHeight="true" outlineLevel="0" collapsed="false">
      <c r="A8" s="27" t="s">
        <v>1436</v>
      </c>
      <c r="B8" s="8" t="s">
        <v>1437</v>
      </c>
      <c r="C8" s="8"/>
      <c r="D8" s="8"/>
      <c r="E8" s="8"/>
      <c r="F8" s="8"/>
      <c r="G8" s="8"/>
    </row>
    <row r="9" customFormat="false" ht="24" hidden="false" customHeight="true" outlineLevel="0" collapsed="false">
      <c r="A9" s="27" t="s">
        <v>1438</v>
      </c>
      <c r="B9" s="8" t="s">
        <v>1439</v>
      </c>
      <c r="C9" s="8"/>
      <c r="D9" s="8"/>
      <c r="E9" s="8"/>
      <c r="F9" s="8"/>
      <c r="G9" s="8"/>
    </row>
    <row r="10" customFormat="false" ht="24" hidden="false" customHeight="true" outlineLevel="0" collapsed="false">
      <c r="A10" s="27" t="s">
        <v>1440</v>
      </c>
      <c r="B10" s="8" t="s">
        <v>1441</v>
      </c>
      <c r="C10" s="8"/>
      <c r="D10" s="8"/>
      <c r="E10" s="8"/>
      <c r="F10" s="8"/>
      <c r="G10" s="8"/>
    </row>
    <row r="11" customFormat="false" ht="24" hidden="false" customHeight="true" outlineLevel="0" collapsed="false">
      <c r="A11" s="27" t="s">
        <v>1442</v>
      </c>
      <c r="B11" s="14" t="s">
        <v>1443</v>
      </c>
      <c r="C11" s="14"/>
      <c r="D11" s="14"/>
      <c r="E11" s="14"/>
      <c r="F11" s="14"/>
      <c r="G11" s="14"/>
    </row>
    <row r="12" customFormat="false" ht="24" hidden="false" customHeight="true" outlineLevel="0" collapsed="false">
      <c r="A12" s="27" t="s">
        <v>1444</v>
      </c>
      <c r="B12" s="8" t="s">
        <v>1445</v>
      </c>
      <c r="C12" s="8"/>
      <c r="D12" s="8"/>
      <c r="E12" s="8"/>
      <c r="F12" s="8"/>
      <c r="G12" s="8"/>
    </row>
    <row r="13" customFormat="false" ht="24" hidden="false" customHeight="true" outlineLevel="0" collapsed="false">
      <c r="A13" s="27" t="s">
        <v>1446</v>
      </c>
      <c r="B13" s="8" t="s">
        <v>1447</v>
      </c>
      <c r="C13" s="8"/>
      <c r="D13" s="8"/>
      <c r="E13" s="8"/>
      <c r="F13" s="8"/>
      <c r="G13" s="8"/>
    </row>
    <row r="15" customFormat="false" ht="19.5" hidden="false" customHeight="true" outlineLevel="0" collapsed="false">
      <c r="A15" s="45" t="s">
        <v>1448</v>
      </c>
      <c r="B15" s="45"/>
      <c r="C15" s="45"/>
      <c r="D15" s="45"/>
      <c r="E15" s="45"/>
      <c r="F15" s="45"/>
      <c r="G15" s="45"/>
    </row>
    <row r="16" customFormat="false" ht="18" hidden="false" customHeight="true" outlineLevel="0" collapsed="false">
      <c r="A16" s="3" t="s">
        <v>1449</v>
      </c>
      <c r="B16" s="3" t="s">
        <v>1450</v>
      </c>
      <c r="C16" s="3" t="s">
        <v>1451</v>
      </c>
      <c r="D16" s="3"/>
      <c r="E16" s="3"/>
      <c r="F16" s="3"/>
      <c r="G16" s="3"/>
    </row>
    <row r="17" customFormat="false" ht="21.75" hidden="false" customHeight="true" outlineLevel="0" collapsed="false">
      <c r="A17" s="46" t="s">
        <v>1452</v>
      </c>
      <c r="B17" s="47" t="s">
        <v>1453</v>
      </c>
      <c r="C17" s="8" t="s">
        <v>1454</v>
      </c>
      <c r="D17" s="8"/>
      <c r="E17" s="8"/>
      <c r="F17" s="8"/>
      <c r="G17" s="8"/>
    </row>
    <row r="18" customFormat="false" ht="21.75" hidden="false" customHeight="true" outlineLevel="0" collapsed="false">
      <c r="A18" s="46" t="s">
        <v>1452</v>
      </c>
      <c r="B18" s="47" t="s">
        <v>1455</v>
      </c>
      <c r="C18" s="48" t="s">
        <v>1456</v>
      </c>
      <c r="D18" s="48"/>
      <c r="E18" s="48"/>
      <c r="F18" s="48"/>
      <c r="G18" s="48"/>
    </row>
    <row r="19" customFormat="false" ht="21.75" hidden="false" customHeight="true" outlineLevel="0" collapsed="false">
      <c r="A19" s="46" t="s">
        <v>1452</v>
      </c>
      <c r="B19" s="47" t="s">
        <v>1457</v>
      </c>
      <c r="C19" s="48" t="s">
        <v>1458</v>
      </c>
      <c r="D19" s="48"/>
      <c r="E19" s="48"/>
      <c r="F19" s="48"/>
      <c r="G19" s="48"/>
    </row>
    <row r="20" customFormat="false" ht="21.75" hidden="false" customHeight="true" outlineLevel="0" collapsed="false">
      <c r="A20" s="46" t="s">
        <v>1452</v>
      </c>
      <c r="B20" s="47" t="s">
        <v>1459</v>
      </c>
      <c r="C20" s="48" t="s">
        <v>1460</v>
      </c>
      <c r="D20" s="48"/>
      <c r="E20" s="48"/>
      <c r="F20" s="48"/>
      <c r="G20" s="48"/>
    </row>
    <row r="21" customFormat="false" ht="21.75" hidden="false" customHeight="true" outlineLevel="0" collapsed="false">
      <c r="A21" s="46" t="s">
        <v>1452</v>
      </c>
      <c r="B21" s="47" t="s">
        <v>1461</v>
      </c>
      <c r="C21" s="48" t="s">
        <v>1462</v>
      </c>
      <c r="D21" s="48"/>
      <c r="E21" s="48"/>
      <c r="F21" s="48"/>
      <c r="G21" s="48"/>
    </row>
    <row r="22" customFormat="false" ht="21.75" hidden="false" customHeight="true" outlineLevel="0" collapsed="false">
      <c r="A22" s="46" t="s">
        <v>1463</v>
      </c>
      <c r="B22" s="47" t="s">
        <v>1453</v>
      </c>
      <c r="C22" s="8" t="s">
        <v>1464</v>
      </c>
      <c r="D22" s="8"/>
      <c r="E22" s="8"/>
      <c r="F22" s="8"/>
      <c r="G22" s="8"/>
    </row>
    <row r="23" customFormat="false" ht="21.75" hidden="false" customHeight="true" outlineLevel="0" collapsed="false">
      <c r="A23" s="46" t="s">
        <v>1463</v>
      </c>
      <c r="B23" s="47" t="s">
        <v>1455</v>
      </c>
      <c r="C23" s="48" t="s">
        <v>1465</v>
      </c>
      <c r="D23" s="48"/>
      <c r="E23" s="48"/>
      <c r="F23" s="48"/>
      <c r="G23" s="48"/>
    </row>
    <row r="24" customFormat="false" ht="21.75" hidden="false" customHeight="true" outlineLevel="0" collapsed="false">
      <c r="A24" s="46" t="s">
        <v>1463</v>
      </c>
      <c r="B24" s="47" t="s">
        <v>1457</v>
      </c>
      <c r="C24" s="48" t="s">
        <v>1466</v>
      </c>
      <c r="D24" s="48"/>
      <c r="E24" s="48"/>
      <c r="F24" s="48"/>
      <c r="G24" s="48"/>
    </row>
    <row r="25" customFormat="false" ht="21.75" hidden="false" customHeight="true" outlineLevel="0" collapsed="false">
      <c r="A25" s="46" t="s">
        <v>1463</v>
      </c>
      <c r="B25" s="47" t="s">
        <v>1459</v>
      </c>
      <c r="C25" s="48" t="s">
        <v>1467</v>
      </c>
      <c r="D25" s="48"/>
      <c r="E25" s="48"/>
      <c r="F25" s="48"/>
      <c r="G25" s="48"/>
    </row>
    <row r="26" customFormat="false" ht="21.75" hidden="false" customHeight="true" outlineLevel="0" collapsed="false">
      <c r="A26" s="46" t="s">
        <v>1463</v>
      </c>
      <c r="B26" s="47" t="s">
        <v>1461</v>
      </c>
      <c r="C26" s="48" t="s">
        <v>1468</v>
      </c>
      <c r="D26" s="48"/>
      <c r="E26" s="48"/>
      <c r="F26" s="48"/>
      <c r="G26" s="48"/>
    </row>
    <row r="27" customFormat="false" ht="21.75" hidden="false" customHeight="true" outlineLevel="0" collapsed="false">
      <c r="A27" s="46" t="s">
        <v>1469</v>
      </c>
      <c r="B27" s="47" t="s">
        <v>1453</v>
      </c>
      <c r="C27" s="8" t="s">
        <v>1470</v>
      </c>
      <c r="D27" s="8"/>
      <c r="E27" s="8"/>
      <c r="F27" s="8"/>
      <c r="G27" s="8"/>
    </row>
    <row r="28" customFormat="false" ht="21.75" hidden="false" customHeight="true" outlineLevel="0" collapsed="false">
      <c r="A28" s="46" t="s">
        <v>1469</v>
      </c>
      <c r="B28" s="47" t="s">
        <v>1455</v>
      </c>
      <c r="C28" s="48" t="s">
        <v>1471</v>
      </c>
      <c r="D28" s="48"/>
      <c r="E28" s="48"/>
      <c r="F28" s="48"/>
      <c r="G28" s="48"/>
    </row>
    <row r="29" customFormat="false" ht="21.75" hidden="false" customHeight="true" outlineLevel="0" collapsed="false">
      <c r="A29" s="46" t="s">
        <v>1469</v>
      </c>
      <c r="B29" s="47" t="s">
        <v>1457</v>
      </c>
      <c r="C29" s="48" t="s">
        <v>1472</v>
      </c>
      <c r="D29" s="48"/>
      <c r="E29" s="48"/>
      <c r="F29" s="48"/>
      <c r="G29" s="48"/>
    </row>
    <row r="30" customFormat="false" ht="21.75" hidden="false" customHeight="true" outlineLevel="0" collapsed="false">
      <c r="A30" s="46" t="s">
        <v>1469</v>
      </c>
      <c r="B30" s="47" t="s">
        <v>1459</v>
      </c>
      <c r="C30" s="48" t="s">
        <v>1473</v>
      </c>
      <c r="D30" s="48"/>
      <c r="E30" s="48"/>
      <c r="F30" s="48"/>
      <c r="G30" s="48"/>
    </row>
    <row r="31" customFormat="false" ht="21.75" hidden="false" customHeight="true" outlineLevel="0" collapsed="false">
      <c r="A31" s="46" t="s">
        <v>1469</v>
      </c>
      <c r="B31" s="47" t="s">
        <v>1461</v>
      </c>
      <c r="C31" s="48" t="s">
        <v>1474</v>
      </c>
      <c r="D31" s="48"/>
      <c r="E31" s="48"/>
      <c r="F31" s="48"/>
      <c r="G31" s="48"/>
    </row>
    <row r="32" customFormat="false" ht="21.75" hidden="false" customHeight="true" outlineLevel="0" collapsed="false">
      <c r="A32" s="46" t="s">
        <v>1475</v>
      </c>
      <c r="B32" s="47" t="s">
        <v>1453</v>
      </c>
      <c r="C32" s="8" t="s">
        <v>1476</v>
      </c>
      <c r="D32" s="8"/>
      <c r="E32" s="8"/>
      <c r="F32" s="8"/>
      <c r="G32" s="8"/>
    </row>
    <row r="33" customFormat="false" ht="21.75" hidden="false" customHeight="true" outlineLevel="0" collapsed="false">
      <c r="A33" s="46" t="s">
        <v>1475</v>
      </c>
      <c r="B33" s="47" t="s">
        <v>1455</v>
      </c>
      <c r="C33" s="48" t="s">
        <v>1477</v>
      </c>
      <c r="D33" s="48"/>
      <c r="E33" s="48"/>
      <c r="F33" s="48"/>
      <c r="G33" s="48"/>
    </row>
    <row r="34" customFormat="false" ht="21.75" hidden="false" customHeight="true" outlineLevel="0" collapsed="false">
      <c r="A34" s="46" t="s">
        <v>1475</v>
      </c>
      <c r="B34" s="47" t="s">
        <v>1457</v>
      </c>
      <c r="C34" s="48" t="s">
        <v>1478</v>
      </c>
      <c r="D34" s="48"/>
      <c r="E34" s="48"/>
      <c r="F34" s="48"/>
      <c r="G34" s="48"/>
    </row>
    <row r="35" customFormat="false" ht="21.75" hidden="false" customHeight="true" outlineLevel="0" collapsed="false">
      <c r="A35" s="46" t="s">
        <v>1475</v>
      </c>
      <c r="B35" s="47" t="s">
        <v>1459</v>
      </c>
      <c r="C35" s="48" t="s">
        <v>1479</v>
      </c>
      <c r="D35" s="48"/>
      <c r="E35" s="48"/>
      <c r="F35" s="48"/>
      <c r="G35" s="48"/>
    </row>
    <row r="36" customFormat="false" ht="21.75" hidden="false" customHeight="true" outlineLevel="0" collapsed="false">
      <c r="A36" s="46" t="s">
        <v>1475</v>
      </c>
      <c r="B36" s="47" t="s">
        <v>1461</v>
      </c>
      <c r="C36" s="48" t="s">
        <v>1480</v>
      </c>
      <c r="D36" s="48"/>
      <c r="E36" s="48"/>
      <c r="F36" s="48"/>
      <c r="G36" s="48"/>
    </row>
    <row r="37" customFormat="false" ht="21.75" hidden="false" customHeight="true" outlineLevel="0" collapsed="false">
      <c r="A37" s="46" t="s">
        <v>1481</v>
      </c>
      <c r="B37" s="47" t="s">
        <v>1453</v>
      </c>
      <c r="C37" s="8" t="s">
        <v>1482</v>
      </c>
      <c r="D37" s="8"/>
      <c r="E37" s="8"/>
      <c r="F37" s="8"/>
      <c r="G37" s="8"/>
    </row>
    <row r="38" customFormat="false" ht="21.75" hidden="false" customHeight="true" outlineLevel="0" collapsed="false">
      <c r="A38" s="46" t="s">
        <v>1481</v>
      </c>
      <c r="B38" s="47" t="s">
        <v>1455</v>
      </c>
      <c r="C38" s="48" t="s">
        <v>1483</v>
      </c>
      <c r="D38" s="48"/>
      <c r="E38" s="48"/>
      <c r="F38" s="48"/>
      <c r="G38" s="48"/>
    </row>
    <row r="39" customFormat="false" ht="21.75" hidden="false" customHeight="true" outlineLevel="0" collapsed="false">
      <c r="A39" s="46" t="s">
        <v>1481</v>
      </c>
      <c r="B39" s="47" t="s">
        <v>1457</v>
      </c>
      <c r="C39" s="48" t="s">
        <v>1484</v>
      </c>
      <c r="D39" s="48"/>
      <c r="E39" s="48"/>
      <c r="F39" s="48"/>
      <c r="G39" s="48"/>
    </row>
    <row r="40" customFormat="false" ht="21.75" hidden="false" customHeight="true" outlineLevel="0" collapsed="false">
      <c r="A40" s="46" t="s">
        <v>1481</v>
      </c>
      <c r="B40" s="47" t="s">
        <v>1459</v>
      </c>
      <c r="C40" s="48" t="s">
        <v>1485</v>
      </c>
      <c r="D40" s="48"/>
      <c r="E40" s="48"/>
      <c r="F40" s="48"/>
      <c r="G40" s="48"/>
    </row>
    <row r="41" customFormat="false" ht="21.75" hidden="false" customHeight="true" outlineLevel="0" collapsed="false">
      <c r="A41" s="46" t="s">
        <v>1481</v>
      </c>
      <c r="B41" s="47" t="s">
        <v>1461</v>
      </c>
      <c r="C41" s="48" t="s">
        <v>1486</v>
      </c>
      <c r="D41" s="48"/>
      <c r="E41" s="48"/>
      <c r="F41" s="48"/>
      <c r="G41" s="48"/>
    </row>
    <row r="42" customFormat="false" ht="21.75" hidden="false" customHeight="true" outlineLevel="0" collapsed="false">
      <c r="A42" s="46" t="s">
        <v>1487</v>
      </c>
      <c r="B42" s="47" t="s">
        <v>1453</v>
      </c>
      <c r="C42" s="8" t="s">
        <v>1488</v>
      </c>
      <c r="D42" s="8"/>
      <c r="E42" s="8"/>
      <c r="F42" s="8"/>
      <c r="G42" s="8"/>
    </row>
    <row r="43" customFormat="false" ht="21.75" hidden="false" customHeight="true" outlineLevel="0" collapsed="false">
      <c r="A43" s="46" t="s">
        <v>1487</v>
      </c>
      <c r="B43" s="47" t="s">
        <v>1455</v>
      </c>
      <c r="C43" s="48" t="s">
        <v>1489</v>
      </c>
      <c r="D43" s="48"/>
      <c r="E43" s="48"/>
      <c r="F43" s="48"/>
      <c r="G43" s="48"/>
    </row>
    <row r="44" customFormat="false" ht="21.75" hidden="false" customHeight="true" outlineLevel="0" collapsed="false">
      <c r="A44" s="46" t="s">
        <v>1487</v>
      </c>
      <c r="B44" s="47" t="s">
        <v>1457</v>
      </c>
      <c r="C44" s="48" t="s">
        <v>1490</v>
      </c>
      <c r="D44" s="48"/>
      <c r="E44" s="48"/>
      <c r="F44" s="48"/>
      <c r="G44" s="48"/>
    </row>
    <row r="45" customFormat="false" ht="21.75" hidden="false" customHeight="true" outlineLevel="0" collapsed="false">
      <c r="A45" s="46" t="s">
        <v>1487</v>
      </c>
      <c r="B45" s="47" t="s">
        <v>1459</v>
      </c>
      <c r="C45" s="48" t="s">
        <v>1491</v>
      </c>
      <c r="D45" s="48"/>
      <c r="E45" s="48"/>
      <c r="F45" s="48"/>
      <c r="G45" s="48"/>
    </row>
    <row r="46" customFormat="false" ht="21.75" hidden="false" customHeight="true" outlineLevel="0" collapsed="false">
      <c r="A46" s="46" t="s">
        <v>1487</v>
      </c>
      <c r="B46" s="47" t="s">
        <v>1461</v>
      </c>
      <c r="C46" s="48" t="s">
        <v>1492</v>
      </c>
      <c r="D46" s="48"/>
      <c r="E46" s="48"/>
      <c r="F46" s="48"/>
      <c r="G46" s="48"/>
    </row>
    <row r="48" customFormat="false" ht="19.5" hidden="false" customHeight="true" outlineLevel="0" collapsed="false">
      <c r="A48" s="45" t="s">
        <v>1493</v>
      </c>
      <c r="B48" s="45"/>
      <c r="C48" s="45"/>
      <c r="D48" s="45"/>
      <c r="E48" s="45"/>
      <c r="F48" s="45"/>
      <c r="G48" s="45"/>
    </row>
    <row r="49" customFormat="false" ht="19.5" hidden="false" customHeight="true" outlineLevel="0" collapsed="false">
      <c r="A49" s="3" t="s">
        <v>1449</v>
      </c>
      <c r="B49" s="3" t="s">
        <v>1494</v>
      </c>
      <c r="C49" s="3" t="s">
        <v>1495</v>
      </c>
      <c r="D49" s="3" t="s">
        <v>1496</v>
      </c>
      <c r="E49" s="49" t="s">
        <v>1497</v>
      </c>
      <c r="F49" s="49" t="s">
        <v>1498</v>
      </c>
      <c r="G49" s="49" t="s">
        <v>1499</v>
      </c>
      <c r="I49" s="50" t="s">
        <v>1500</v>
      </c>
    </row>
    <row r="50" customFormat="false" ht="19.5" hidden="false" customHeight="true" outlineLevel="0" collapsed="false">
      <c r="A50" s="51" t="s">
        <v>1501</v>
      </c>
      <c r="B50" s="52" t="s">
        <v>1502</v>
      </c>
      <c r="C50" s="48" t="s">
        <v>1503</v>
      </c>
      <c r="D50" s="24" t="n">
        <v>1</v>
      </c>
      <c r="E50" s="12" t="s">
        <v>1504</v>
      </c>
      <c r="F50" s="12" t="s">
        <v>1505</v>
      </c>
      <c r="G50" s="12" t="s">
        <v>1506</v>
      </c>
      <c r="I50" s="6" t="s">
        <v>1507</v>
      </c>
      <c r="J50" s="53" t="n">
        <f aca="false">SUM(D50:D53)</f>
        <v>4</v>
      </c>
    </row>
    <row r="51" customFormat="false" ht="19.5" hidden="false" customHeight="true" outlineLevel="0" collapsed="false">
      <c r="A51" s="51" t="s">
        <v>1501</v>
      </c>
      <c r="B51" s="52" t="s">
        <v>1508</v>
      </c>
      <c r="C51" s="48" t="s">
        <v>1509</v>
      </c>
      <c r="D51" s="24" t="n">
        <v>1</v>
      </c>
      <c r="E51" s="12" t="s">
        <v>1510</v>
      </c>
      <c r="F51" s="12" t="s">
        <v>1511</v>
      </c>
      <c r="G51" s="12" t="s">
        <v>1512</v>
      </c>
      <c r="I51" s="6" t="s">
        <v>1513</v>
      </c>
      <c r="J51" s="53" t="n">
        <f aca="false">SUM(D54:D57)</f>
        <v>4</v>
      </c>
    </row>
    <row r="52" customFormat="false" ht="19.5" hidden="false" customHeight="true" outlineLevel="0" collapsed="false">
      <c r="A52" s="51" t="s">
        <v>1501</v>
      </c>
      <c r="B52" s="52" t="s">
        <v>1514</v>
      </c>
      <c r="C52" s="48" t="s">
        <v>1515</v>
      </c>
      <c r="D52" s="24" t="n">
        <v>1</v>
      </c>
      <c r="E52" s="12" t="s">
        <v>1516</v>
      </c>
      <c r="F52" s="12" t="s">
        <v>1517</v>
      </c>
      <c r="G52" s="12" t="s">
        <v>1518</v>
      </c>
      <c r="I52" s="6" t="s">
        <v>1519</v>
      </c>
      <c r="J52" s="53" t="n">
        <f aca="false">SUM(D58:D61)</f>
        <v>4</v>
      </c>
    </row>
    <row r="53" customFormat="false" ht="19.5" hidden="false" customHeight="true" outlineLevel="0" collapsed="false">
      <c r="A53" s="51" t="s">
        <v>1501</v>
      </c>
      <c r="B53" s="52" t="s">
        <v>1520</v>
      </c>
      <c r="C53" s="48" t="s">
        <v>1521</v>
      </c>
      <c r="D53" s="24" t="n">
        <v>1</v>
      </c>
      <c r="E53" s="10" t="s">
        <v>1522</v>
      </c>
      <c r="F53" s="10" t="s">
        <v>1523</v>
      </c>
      <c r="G53" s="10" t="s">
        <v>1524</v>
      </c>
      <c r="I53" s="6" t="s">
        <v>1525</v>
      </c>
      <c r="J53" s="53" t="n">
        <f aca="false">SUM(D62:D65)</f>
        <v>4</v>
      </c>
    </row>
    <row r="54" customFormat="false" ht="19.5" hidden="false" customHeight="true" outlineLevel="0" collapsed="false">
      <c r="A54" s="51" t="s">
        <v>1526</v>
      </c>
      <c r="B54" s="52" t="s">
        <v>1527</v>
      </c>
      <c r="C54" s="48" t="s">
        <v>1528</v>
      </c>
      <c r="D54" s="24" t="n">
        <v>1</v>
      </c>
      <c r="E54" s="10" t="s">
        <v>1529</v>
      </c>
      <c r="F54" s="10" t="s">
        <v>1530</v>
      </c>
      <c r="G54" s="10" t="s">
        <v>1531</v>
      </c>
      <c r="I54" s="6" t="s">
        <v>1532</v>
      </c>
      <c r="J54" s="53" t="n">
        <f aca="false">SUM(D66:D69)</f>
        <v>4</v>
      </c>
    </row>
    <row r="55" customFormat="false" ht="19.5" hidden="false" customHeight="true" outlineLevel="0" collapsed="false">
      <c r="A55" s="51" t="s">
        <v>1526</v>
      </c>
      <c r="B55" s="52" t="s">
        <v>1533</v>
      </c>
      <c r="C55" s="48" t="s">
        <v>1534</v>
      </c>
      <c r="D55" s="24" t="n">
        <v>1</v>
      </c>
      <c r="E55" s="10" t="s">
        <v>1535</v>
      </c>
      <c r="F55" s="10" t="s">
        <v>1536</v>
      </c>
      <c r="G55" s="10" t="s">
        <v>1537</v>
      </c>
      <c r="I55" s="6" t="s">
        <v>1538</v>
      </c>
      <c r="J55" s="53" t="n">
        <f aca="false">SUM(D70:D73)</f>
        <v>4</v>
      </c>
    </row>
    <row r="56" customFormat="false" ht="19.5" hidden="false" customHeight="true" outlineLevel="0" collapsed="false">
      <c r="A56" s="51" t="s">
        <v>1526</v>
      </c>
      <c r="B56" s="52" t="s">
        <v>1539</v>
      </c>
      <c r="C56" s="48" t="s">
        <v>1540</v>
      </c>
      <c r="D56" s="24" t="n">
        <v>1</v>
      </c>
      <c r="E56" s="12" t="s">
        <v>1541</v>
      </c>
      <c r="F56" s="12" t="s">
        <v>1542</v>
      </c>
      <c r="G56" s="12" t="s">
        <v>1543</v>
      </c>
    </row>
    <row r="57" customFormat="false" ht="19.5" hidden="false" customHeight="true" outlineLevel="0" collapsed="false">
      <c r="A57" s="51" t="s">
        <v>1526</v>
      </c>
      <c r="B57" s="52" t="s">
        <v>1544</v>
      </c>
      <c r="C57" s="48" t="s">
        <v>1545</v>
      </c>
      <c r="D57" s="24" t="n">
        <v>1</v>
      </c>
      <c r="E57" s="10" t="s">
        <v>1546</v>
      </c>
      <c r="F57" s="10" t="s">
        <v>1547</v>
      </c>
      <c r="G57" s="10" t="s">
        <v>1548</v>
      </c>
    </row>
    <row r="58" customFormat="false" ht="19.5" hidden="false" customHeight="true" outlineLevel="0" collapsed="false">
      <c r="A58" s="51" t="s">
        <v>1549</v>
      </c>
      <c r="B58" s="52" t="s">
        <v>1550</v>
      </c>
      <c r="C58" s="48" t="s">
        <v>1551</v>
      </c>
      <c r="D58" s="24" t="n">
        <v>1</v>
      </c>
      <c r="E58" s="10" t="s">
        <v>1552</v>
      </c>
      <c r="F58" s="12" t="s">
        <v>1553</v>
      </c>
      <c r="G58" s="12" t="s">
        <v>1554</v>
      </c>
    </row>
    <row r="59" customFormat="false" ht="19.5" hidden="false" customHeight="true" outlineLevel="0" collapsed="false">
      <c r="A59" s="51" t="s">
        <v>1549</v>
      </c>
      <c r="B59" s="52" t="s">
        <v>1555</v>
      </c>
      <c r="C59" s="48" t="s">
        <v>1556</v>
      </c>
      <c r="D59" s="24" t="n">
        <v>1</v>
      </c>
      <c r="E59" s="10" t="s">
        <v>1557</v>
      </c>
      <c r="F59" s="10" t="s">
        <v>1558</v>
      </c>
      <c r="G59" s="10" t="s">
        <v>1559</v>
      </c>
    </row>
    <row r="60" customFormat="false" ht="19.5" hidden="false" customHeight="true" outlineLevel="0" collapsed="false">
      <c r="A60" s="51" t="s">
        <v>1549</v>
      </c>
      <c r="B60" s="52" t="s">
        <v>1560</v>
      </c>
      <c r="C60" s="48" t="s">
        <v>1561</v>
      </c>
      <c r="D60" s="24" t="n">
        <v>1</v>
      </c>
      <c r="E60" s="12" t="s">
        <v>1562</v>
      </c>
      <c r="F60" s="12" t="s">
        <v>1563</v>
      </c>
      <c r="G60" s="12" t="s">
        <v>1564</v>
      </c>
    </row>
    <row r="61" customFormat="false" ht="19.5" hidden="false" customHeight="true" outlineLevel="0" collapsed="false">
      <c r="A61" s="51" t="s">
        <v>1549</v>
      </c>
      <c r="B61" s="52" t="s">
        <v>1565</v>
      </c>
      <c r="C61" s="48" t="s">
        <v>1566</v>
      </c>
      <c r="D61" s="24" t="n">
        <v>1</v>
      </c>
      <c r="E61" s="10" t="s">
        <v>1567</v>
      </c>
      <c r="F61" s="10" t="s">
        <v>1568</v>
      </c>
      <c r="G61" s="10" t="s">
        <v>1569</v>
      </c>
    </row>
    <row r="62" customFormat="false" ht="19.5" hidden="false" customHeight="true" outlineLevel="0" collapsed="false">
      <c r="A62" s="51" t="s">
        <v>1570</v>
      </c>
      <c r="B62" s="52" t="s">
        <v>1571</v>
      </c>
      <c r="C62" s="48" t="s">
        <v>1572</v>
      </c>
      <c r="D62" s="24" t="n">
        <v>1</v>
      </c>
      <c r="E62" s="12" t="s">
        <v>1573</v>
      </c>
      <c r="F62" s="12" t="s">
        <v>1574</v>
      </c>
      <c r="G62" s="12" t="s">
        <v>1575</v>
      </c>
    </row>
    <row r="63" customFormat="false" ht="19.5" hidden="false" customHeight="true" outlineLevel="0" collapsed="false">
      <c r="A63" s="51" t="s">
        <v>1570</v>
      </c>
      <c r="B63" s="52" t="s">
        <v>1576</v>
      </c>
      <c r="C63" s="48" t="s">
        <v>1577</v>
      </c>
      <c r="D63" s="24" t="n">
        <v>1</v>
      </c>
      <c r="E63" s="10" t="s">
        <v>1578</v>
      </c>
      <c r="F63" s="10" t="s">
        <v>1579</v>
      </c>
      <c r="G63" s="10" t="s">
        <v>1580</v>
      </c>
    </row>
    <row r="64" customFormat="false" ht="19.5" hidden="false" customHeight="true" outlineLevel="0" collapsed="false">
      <c r="A64" s="51" t="s">
        <v>1570</v>
      </c>
      <c r="B64" s="52" t="s">
        <v>1581</v>
      </c>
      <c r="C64" s="48" t="s">
        <v>1582</v>
      </c>
      <c r="D64" s="24" t="n">
        <v>1</v>
      </c>
      <c r="E64" s="10" t="s">
        <v>1583</v>
      </c>
      <c r="F64" s="12" t="s">
        <v>1584</v>
      </c>
      <c r="G64" s="10" t="s">
        <v>1585</v>
      </c>
    </row>
    <row r="65" customFormat="false" ht="19.5" hidden="false" customHeight="true" outlineLevel="0" collapsed="false">
      <c r="A65" s="51" t="s">
        <v>1570</v>
      </c>
      <c r="B65" s="52" t="s">
        <v>1586</v>
      </c>
      <c r="C65" s="48" t="s">
        <v>1587</v>
      </c>
      <c r="D65" s="24" t="n">
        <v>1</v>
      </c>
      <c r="E65" s="12" t="s">
        <v>1588</v>
      </c>
      <c r="F65" s="12" t="s">
        <v>1589</v>
      </c>
      <c r="G65" s="12" t="s">
        <v>1590</v>
      </c>
    </row>
    <row r="66" customFormat="false" ht="19.5" hidden="false" customHeight="true" outlineLevel="0" collapsed="false">
      <c r="A66" s="51" t="s">
        <v>1591</v>
      </c>
      <c r="B66" s="52" t="s">
        <v>1592</v>
      </c>
      <c r="C66" s="48" t="s">
        <v>1593</v>
      </c>
      <c r="D66" s="24" t="n">
        <v>1</v>
      </c>
      <c r="E66" s="10" t="s">
        <v>1594</v>
      </c>
      <c r="F66" s="10" t="s">
        <v>1595</v>
      </c>
      <c r="G66" s="10" t="s">
        <v>1596</v>
      </c>
    </row>
    <row r="67" customFormat="false" ht="19.5" hidden="false" customHeight="true" outlineLevel="0" collapsed="false">
      <c r="A67" s="51" t="s">
        <v>1591</v>
      </c>
      <c r="B67" s="52" t="s">
        <v>1597</v>
      </c>
      <c r="C67" s="48" t="s">
        <v>1598</v>
      </c>
      <c r="D67" s="24" t="n">
        <v>1</v>
      </c>
      <c r="E67" s="12" t="s">
        <v>1599</v>
      </c>
      <c r="F67" s="12" t="s">
        <v>1600</v>
      </c>
      <c r="G67" s="12" t="s">
        <v>1601</v>
      </c>
    </row>
    <row r="68" customFormat="false" ht="19.5" hidden="false" customHeight="true" outlineLevel="0" collapsed="false">
      <c r="A68" s="51" t="s">
        <v>1591</v>
      </c>
      <c r="B68" s="52" t="s">
        <v>1602</v>
      </c>
      <c r="C68" s="48" t="s">
        <v>1603</v>
      </c>
      <c r="D68" s="24" t="n">
        <v>1</v>
      </c>
      <c r="E68" s="12" t="s">
        <v>1516</v>
      </c>
      <c r="F68" s="12" t="s">
        <v>1517</v>
      </c>
      <c r="G68" s="12" t="s">
        <v>1518</v>
      </c>
    </row>
    <row r="69" customFormat="false" ht="19.5" hidden="false" customHeight="true" outlineLevel="0" collapsed="false">
      <c r="A69" s="51" t="s">
        <v>1591</v>
      </c>
      <c r="B69" s="52" t="s">
        <v>1604</v>
      </c>
      <c r="C69" s="48" t="s">
        <v>1605</v>
      </c>
      <c r="D69" s="24" t="n">
        <v>1</v>
      </c>
      <c r="E69" s="12" t="s">
        <v>1606</v>
      </c>
      <c r="F69" s="12" t="s">
        <v>1607</v>
      </c>
      <c r="G69" s="12" t="s">
        <v>1608</v>
      </c>
    </row>
    <row r="70" customFormat="false" ht="19.5" hidden="false" customHeight="true" outlineLevel="0" collapsed="false">
      <c r="A70" s="51" t="s">
        <v>1609</v>
      </c>
      <c r="B70" s="52" t="s">
        <v>1610</v>
      </c>
      <c r="C70" s="48" t="s">
        <v>1611</v>
      </c>
      <c r="D70" s="24" t="n">
        <v>1</v>
      </c>
      <c r="E70" s="10" t="s">
        <v>1612</v>
      </c>
      <c r="F70" s="10" t="s">
        <v>1613</v>
      </c>
      <c r="G70" s="10" t="s">
        <v>1567</v>
      </c>
    </row>
    <row r="71" customFormat="false" ht="19.5" hidden="false" customHeight="true" outlineLevel="0" collapsed="false">
      <c r="A71" s="51" t="s">
        <v>1609</v>
      </c>
      <c r="B71" s="52" t="s">
        <v>1614</v>
      </c>
      <c r="C71" s="48" t="s">
        <v>1615</v>
      </c>
      <c r="D71" s="24" t="n">
        <v>1</v>
      </c>
      <c r="E71" s="12" t="s">
        <v>1616</v>
      </c>
      <c r="F71" s="12" t="s">
        <v>1617</v>
      </c>
      <c r="G71" s="12" t="s">
        <v>1618</v>
      </c>
    </row>
    <row r="72" customFormat="false" ht="19.5" hidden="false" customHeight="true" outlineLevel="0" collapsed="false">
      <c r="A72" s="51" t="s">
        <v>1609</v>
      </c>
      <c r="B72" s="52" t="s">
        <v>1619</v>
      </c>
      <c r="C72" s="48" t="s">
        <v>1620</v>
      </c>
      <c r="D72" s="24" t="n">
        <v>1</v>
      </c>
      <c r="E72" s="10" t="s">
        <v>1621</v>
      </c>
      <c r="F72" s="10" t="s">
        <v>1622</v>
      </c>
      <c r="G72" s="10" t="s">
        <v>1567</v>
      </c>
    </row>
    <row r="73" customFormat="false" ht="19.5" hidden="false" customHeight="true" outlineLevel="0" collapsed="false">
      <c r="A73" s="51" t="s">
        <v>1609</v>
      </c>
      <c r="B73" s="52" t="s">
        <v>1623</v>
      </c>
      <c r="C73" s="48" t="s">
        <v>1624</v>
      </c>
      <c r="D73" s="24" t="n">
        <v>1</v>
      </c>
      <c r="E73" s="10" t="s">
        <v>1625</v>
      </c>
      <c r="F73" s="10" t="s">
        <v>1626</v>
      </c>
      <c r="G73" s="10" t="s">
        <v>1627</v>
      </c>
    </row>
    <row r="75" customFormat="false" ht="19.5" hidden="false" customHeight="true" outlineLevel="0" collapsed="false">
      <c r="A75" s="45" t="s">
        <v>1628</v>
      </c>
      <c r="B75" s="45"/>
      <c r="C75" s="45"/>
      <c r="D75" s="45"/>
      <c r="E75" s="45"/>
      <c r="F75" s="45"/>
      <c r="G75" s="45"/>
    </row>
    <row r="76" customFormat="false" ht="15" hidden="false" customHeight="false" outlineLevel="0" collapsed="false">
      <c r="A76" s="54" t="s">
        <v>1629</v>
      </c>
      <c r="B76" s="55" t="n">
        <f aca="false">SUM(D50:D73)</f>
        <v>24</v>
      </c>
      <c r="C76" s="56" t="str">
        <f aca="false">"六因子得分：F1 "&amp;SUM(D50:D53)&amp;" ｜F2 "&amp;SUM(D54:D57)&amp;" ｜F3 "&amp;SUM(D58:D61)&amp;" ｜F4 "&amp;SUM(D62:D65)&amp;" ｜F5 "&amp;SUM(D66:D69)&amp;" ｜F6 "&amp;SUM(D70:D73)&amp;"（每项满分 8）"</f>
        <v>六因子得分：F1 4 ｜F2 4 ｜F3 4 ｜F4 4 ｜F5 4 ｜F6 4（每项满分 8）</v>
      </c>
      <c r="D76" s="56"/>
      <c r="E76" s="56"/>
      <c r="F76" s="56"/>
      <c r="G76" s="56"/>
    </row>
    <row r="77" customFormat="false" ht="15" hidden="false" customHeight="false" outlineLevel="0" collapsed="false">
      <c r="A77" s="54" t="s">
        <v>1630</v>
      </c>
      <c r="B77" s="57" t="str">
        <f aca="false">IF(B76&gt;=41,"结构性寡头",IF(B76&gt;=32,"有序寡头 / 默契定价",IF(B76&gt;=23,"一超多强",IF(B76&gt;=13,"大宗化 / 完全竞争","被夹层"))))</f>
        <v>一超多强</v>
      </c>
      <c r="C77" s="57"/>
      <c r="D77" s="27" t="str">
        <f aca="false">"最弱的因子是 "&amp;INDEX($I$50:$I$55,MATCH(MIN($J$50:$J$55),$J$50:$J$55,0))&amp;"（"&amp;MIN($J$50:$J$55)&amp;"/8）—— 这是格局最先崩坏的入口"</f>
        <v>最弱的因子是 F1 进入壁垒（4/8）—— 这是格局最先崩坏的入口</v>
      </c>
      <c r="E77" s="27"/>
      <c r="F77" s="27"/>
      <c r="G77" s="27"/>
    </row>
    <row r="78" customFormat="false" ht="15" hidden="false" customHeight="false" outlineLevel="0" collapsed="false">
      <c r="A78" s="58" t="s">
        <v>1631</v>
      </c>
      <c r="B78" s="59" t="str">
        <f aca="false">INDEX($B$90:$F$90,MATCH($B$77,$B$86:$F$86,0))</f>
        <v>10 – 18%</v>
      </c>
      <c r="C78" s="59"/>
      <c r="D78" s="59"/>
      <c r="E78" s="59"/>
      <c r="F78" s="59"/>
      <c r="G78" s="59"/>
    </row>
    <row r="79" customFormat="false" ht="15" hidden="false" customHeight="false" outlineLevel="0" collapsed="false">
      <c r="A79" s="58" t="s">
        <v>276</v>
      </c>
      <c r="B79" s="59" t="str">
        <f aca="false">INDEX($B$92:$F$92,MATCH($B$77,$B$86:$F$86,0))</f>
        <v>份额 × TAM，PE/PS 中枢</v>
      </c>
      <c r="C79" s="59"/>
      <c r="D79" s="59"/>
      <c r="E79" s="59"/>
      <c r="F79" s="59"/>
      <c r="G79" s="59"/>
    </row>
    <row r="80" customFormat="false" ht="15" hidden="false" customHeight="false" outlineLevel="0" collapsed="false">
      <c r="A80" s="58" t="s">
        <v>1632</v>
      </c>
      <c r="B80" s="59" t="str">
        <f aca="false">INDEX($B$93:$F$93,MATCH($B$77,$B$86:$F$86,0))</f>
        <v>3 – 5 季</v>
      </c>
      <c r="C80" s="59"/>
      <c r="D80" s="59"/>
      <c r="E80" s="59"/>
      <c r="F80" s="59"/>
      <c r="G80" s="59"/>
    </row>
    <row r="81" customFormat="false" ht="15" hidden="false" customHeight="false" outlineLevel="0" collapsed="false">
      <c r="A81" s="58" t="s">
        <v>1633</v>
      </c>
      <c r="B81" s="59" t="str">
        <f aca="false">INDEX($B$96:$F$96,MATCH($B$77,$B$86:$F$86,0))</f>
        <v>谨慎，须有份额提升证据</v>
      </c>
      <c r="C81" s="59"/>
      <c r="D81" s="59"/>
      <c r="E81" s="59"/>
      <c r="F81" s="59"/>
      <c r="G81" s="59"/>
    </row>
    <row r="82" customFormat="false" ht="15" hidden="false" customHeight="false" outlineLevel="0" collapsed="false">
      <c r="A82" s="58" t="s">
        <v>1634</v>
      </c>
      <c r="B82" s="59" t="str">
        <f aca="false">INDEX($B$97:$F$97,MATCH($B$77,$B$86:$F$86,0))</f>
        <v>份额被侵蚀 / 价格战</v>
      </c>
      <c r="C82" s="59"/>
      <c r="D82" s="59"/>
      <c r="E82" s="59"/>
      <c r="F82" s="59"/>
      <c r="G82" s="59"/>
    </row>
    <row r="83" customFormat="false" ht="15" hidden="false" customHeight="false" outlineLevel="0" collapsed="false">
      <c r="A83" s="58" t="s">
        <v>1635</v>
      </c>
      <c r="B83" s="59" t="str">
        <f aca="false">INDEX($B$101:$F$101,MATCH($B$77,$B$86:$F$86,0))</f>
        <v>中期层为主</v>
      </c>
      <c r="C83" s="59"/>
      <c r="D83" s="59"/>
      <c r="E83" s="59"/>
      <c r="F83" s="59"/>
      <c r="G83" s="59"/>
    </row>
    <row r="85" customFormat="false" ht="19.5" hidden="false" customHeight="true" outlineLevel="0" collapsed="false">
      <c r="A85" s="45" t="s">
        <v>1636</v>
      </c>
      <c r="B85" s="45"/>
      <c r="C85" s="45"/>
      <c r="D85" s="45"/>
      <c r="E85" s="45"/>
      <c r="F85" s="45"/>
      <c r="G85" s="45"/>
    </row>
    <row r="86" customFormat="false" ht="30" hidden="false" customHeight="true" outlineLevel="0" collapsed="false">
      <c r="A86" s="3" t="s">
        <v>1637</v>
      </c>
      <c r="B86" s="3" t="s">
        <v>1638</v>
      </c>
      <c r="C86" s="3" t="s">
        <v>1639</v>
      </c>
      <c r="D86" s="3" t="s">
        <v>1640</v>
      </c>
      <c r="E86" s="3" t="s">
        <v>1641</v>
      </c>
      <c r="F86" s="3" t="s">
        <v>1642</v>
      </c>
      <c r="G86" s="3"/>
    </row>
    <row r="87" customFormat="false" ht="24" hidden="false" customHeight="true" outlineLevel="0" collapsed="false">
      <c r="A87" s="60" t="s">
        <v>1643</v>
      </c>
      <c r="B87" s="37" t="s">
        <v>1644</v>
      </c>
      <c r="C87" s="37" t="s">
        <v>1645</v>
      </c>
      <c r="D87" s="37" t="s">
        <v>1646</v>
      </c>
      <c r="E87" s="37" t="s">
        <v>1647</v>
      </c>
      <c r="F87" s="37" t="s">
        <v>1648</v>
      </c>
    </row>
    <row r="88" customFormat="false" ht="24" hidden="false" customHeight="true" outlineLevel="0" collapsed="false">
      <c r="A88" s="60" t="s">
        <v>74</v>
      </c>
      <c r="B88" s="31" t="s">
        <v>1649</v>
      </c>
      <c r="C88" s="37" t="s">
        <v>1650</v>
      </c>
      <c r="D88" s="31" t="s">
        <v>1651</v>
      </c>
      <c r="E88" s="31" t="s">
        <v>1652</v>
      </c>
      <c r="F88" s="31" t="s">
        <v>1653</v>
      </c>
    </row>
    <row r="89" customFormat="false" ht="24" hidden="false" customHeight="true" outlineLevel="0" collapsed="false">
      <c r="A89" s="60" t="s">
        <v>1654</v>
      </c>
      <c r="B89" s="31" t="s">
        <v>1655</v>
      </c>
      <c r="C89" s="31" t="s">
        <v>1656</v>
      </c>
      <c r="D89" s="31" t="s">
        <v>1657</v>
      </c>
      <c r="E89" s="31" t="s">
        <v>1658</v>
      </c>
      <c r="F89" s="31" t="s">
        <v>1659</v>
      </c>
    </row>
    <row r="90" customFormat="false" ht="24" hidden="false" customHeight="true" outlineLevel="0" collapsed="false">
      <c r="A90" s="60" t="s">
        <v>1660</v>
      </c>
      <c r="B90" s="37" t="s">
        <v>1661</v>
      </c>
      <c r="C90" s="37" t="s">
        <v>1662</v>
      </c>
      <c r="D90" s="37" t="s">
        <v>1663</v>
      </c>
      <c r="E90" s="37" t="s">
        <v>1664</v>
      </c>
      <c r="F90" s="37" t="s">
        <v>1590</v>
      </c>
    </row>
    <row r="91" customFormat="false" ht="24" hidden="false" customHeight="true" outlineLevel="0" collapsed="false">
      <c r="A91" s="60" t="s">
        <v>1665</v>
      </c>
      <c r="B91" s="31" t="s">
        <v>1666</v>
      </c>
      <c r="C91" s="31" t="s">
        <v>1667</v>
      </c>
      <c r="D91" s="31" t="s">
        <v>1668</v>
      </c>
      <c r="E91" s="31" t="s">
        <v>1669</v>
      </c>
      <c r="F91" s="31" t="s">
        <v>1670</v>
      </c>
    </row>
    <row r="92" customFormat="false" ht="24" hidden="false" customHeight="true" outlineLevel="0" collapsed="false">
      <c r="A92" s="60" t="s">
        <v>276</v>
      </c>
      <c r="B92" s="37" t="s">
        <v>1671</v>
      </c>
      <c r="C92" s="37" t="s">
        <v>1672</v>
      </c>
      <c r="D92" s="31" t="s">
        <v>1673</v>
      </c>
      <c r="E92" s="31" t="s">
        <v>1674</v>
      </c>
      <c r="F92" s="31" t="s">
        <v>1675</v>
      </c>
    </row>
    <row r="93" customFormat="false" ht="24" hidden="false" customHeight="true" outlineLevel="0" collapsed="false">
      <c r="A93" s="60" t="s">
        <v>1632</v>
      </c>
      <c r="B93" s="37" t="s">
        <v>1676</v>
      </c>
      <c r="C93" s="37" t="s">
        <v>1677</v>
      </c>
      <c r="D93" s="37" t="s">
        <v>1678</v>
      </c>
      <c r="E93" s="37" t="s">
        <v>1679</v>
      </c>
      <c r="F93" s="37" t="s">
        <v>1680</v>
      </c>
    </row>
    <row r="94" customFormat="false" ht="24" hidden="false" customHeight="true" outlineLevel="0" collapsed="false">
      <c r="A94" s="60" t="s">
        <v>1681</v>
      </c>
      <c r="B94" s="31" t="s">
        <v>1682</v>
      </c>
      <c r="C94" s="31" t="s">
        <v>1683</v>
      </c>
      <c r="D94" s="31" t="s">
        <v>1684</v>
      </c>
      <c r="E94" s="31" t="s">
        <v>1685</v>
      </c>
      <c r="F94" s="31" t="s">
        <v>1686</v>
      </c>
    </row>
    <row r="95" customFormat="false" ht="24" hidden="false" customHeight="true" outlineLevel="0" collapsed="false">
      <c r="A95" s="60" t="s">
        <v>1687</v>
      </c>
      <c r="B95" s="31" t="s">
        <v>1688</v>
      </c>
      <c r="C95" s="31" t="s">
        <v>1689</v>
      </c>
      <c r="D95" s="31" t="s">
        <v>1595</v>
      </c>
      <c r="E95" s="31" t="s">
        <v>1690</v>
      </c>
      <c r="F95" s="31" t="s">
        <v>1691</v>
      </c>
    </row>
    <row r="96" customFormat="false" ht="24" hidden="false" customHeight="true" outlineLevel="0" collapsed="false">
      <c r="A96" s="60" t="s">
        <v>1633</v>
      </c>
      <c r="B96" s="31" t="s">
        <v>1692</v>
      </c>
      <c r="C96" s="31" t="s">
        <v>1693</v>
      </c>
      <c r="D96" s="31" t="s">
        <v>1694</v>
      </c>
      <c r="E96" s="31" t="s">
        <v>1695</v>
      </c>
      <c r="F96" s="31" t="s">
        <v>1696</v>
      </c>
    </row>
    <row r="97" customFormat="false" ht="24" hidden="false" customHeight="true" outlineLevel="0" collapsed="false">
      <c r="A97" s="60" t="s">
        <v>1634</v>
      </c>
      <c r="B97" s="31" t="s">
        <v>1697</v>
      </c>
      <c r="C97" s="31" t="s">
        <v>1698</v>
      </c>
      <c r="D97" s="31" t="s">
        <v>1699</v>
      </c>
      <c r="E97" s="31" t="s">
        <v>1700</v>
      </c>
      <c r="F97" s="31" t="s">
        <v>1701</v>
      </c>
    </row>
    <row r="98" customFormat="false" ht="24" hidden="false" customHeight="true" outlineLevel="0" collapsed="false">
      <c r="A98" s="60" t="s">
        <v>1702</v>
      </c>
      <c r="B98" s="31" t="s">
        <v>1703</v>
      </c>
      <c r="C98" s="31" t="s">
        <v>1704</v>
      </c>
      <c r="D98" s="31" t="s">
        <v>1705</v>
      </c>
      <c r="E98" s="31" t="s">
        <v>1706</v>
      </c>
      <c r="F98" s="31" t="s">
        <v>1707</v>
      </c>
    </row>
    <row r="99" customFormat="false" ht="24" hidden="false" customHeight="true" outlineLevel="0" collapsed="false">
      <c r="A99" s="60" t="s">
        <v>1708</v>
      </c>
      <c r="B99" s="31" t="s">
        <v>1709</v>
      </c>
      <c r="C99" s="31" t="s">
        <v>1710</v>
      </c>
      <c r="D99" s="31" t="s">
        <v>1711</v>
      </c>
      <c r="E99" s="31" t="s">
        <v>1712</v>
      </c>
      <c r="F99" s="31" t="s">
        <v>1713</v>
      </c>
    </row>
    <row r="100" customFormat="false" ht="24" hidden="false" customHeight="true" outlineLevel="0" collapsed="false">
      <c r="A100" s="60" t="s">
        <v>1714</v>
      </c>
      <c r="B100" s="31" t="s">
        <v>1715</v>
      </c>
      <c r="C100" s="31" t="s">
        <v>1716</v>
      </c>
      <c r="D100" s="31" t="s">
        <v>1717</v>
      </c>
      <c r="E100" s="31" t="s">
        <v>1718</v>
      </c>
      <c r="F100" s="31" t="s">
        <v>1719</v>
      </c>
    </row>
    <row r="101" customFormat="false" ht="24" hidden="false" customHeight="true" outlineLevel="0" collapsed="false">
      <c r="A101" s="60" t="s">
        <v>1635</v>
      </c>
      <c r="B101" s="31" t="s">
        <v>1720</v>
      </c>
      <c r="C101" s="31" t="s">
        <v>1721</v>
      </c>
      <c r="D101" s="31" t="s">
        <v>1722</v>
      </c>
      <c r="E101" s="31" t="s">
        <v>1723</v>
      </c>
      <c r="F101" s="31" t="s">
        <v>1724</v>
      </c>
    </row>
    <row r="103" customFormat="false" ht="19.5" hidden="false" customHeight="true" outlineLevel="0" collapsed="false">
      <c r="A103" s="45" t="s">
        <v>1725</v>
      </c>
      <c r="B103" s="45"/>
      <c r="C103" s="45"/>
      <c r="D103" s="45"/>
      <c r="E103" s="45"/>
      <c r="F103" s="45"/>
      <c r="G103" s="45"/>
    </row>
    <row r="104" customFormat="false" ht="18" hidden="false" customHeight="true" outlineLevel="0" collapsed="false">
      <c r="A104" s="49" t="s">
        <v>1726</v>
      </c>
      <c r="B104" s="3" t="s">
        <v>1727</v>
      </c>
      <c r="C104" s="3" t="s">
        <v>1728</v>
      </c>
      <c r="D104" s="3" t="s">
        <v>1729</v>
      </c>
      <c r="E104" s="3" t="s">
        <v>1730</v>
      </c>
      <c r="F104" s="3"/>
      <c r="G104" s="3"/>
    </row>
    <row r="105" customFormat="false" ht="21.75" hidden="false" customHeight="true" outlineLevel="0" collapsed="false">
      <c r="A105" s="52" t="s">
        <v>1731</v>
      </c>
      <c r="B105" s="7" t="s">
        <v>1732</v>
      </c>
      <c r="C105" s="7"/>
      <c r="D105" s="61" t="s">
        <v>1733</v>
      </c>
      <c r="E105" s="10" t="s">
        <v>593</v>
      </c>
      <c r="F105" s="31" t="s">
        <v>1734</v>
      </c>
      <c r="G105" s="31"/>
    </row>
    <row r="106" customFormat="false" ht="21.75" hidden="false" customHeight="true" outlineLevel="0" collapsed="false">
      <c r="A106" s="52" t="s">
        <v>1735</v>
      </c>
      <c r="B106" s="7" t="s">
        <v>1736</v>
      </c>
      <c r="C106" s="7"/>
      <c r="D106" s="61" t="s">
        <v>1733</v>
      </c>
      <c r="E106" s="10" t="s">
        <v>1737</v>
      </c>
      <c r="F106" s="37" t="s">
        <v>1738</v>
      </c>
      <c r="G106" s="37"/>
    </row>
    <row r="107" customFormat="false" ht="21.75" hidden="false" customHeight="true" outlineLevel="0" collapsed="false">
      <c r="A107" s="52" t="s">
        <v>1739</v>
      </c>
      <c r="B107" s="7" t="s">
        <v>1740</v>
      </c>
      <c r="C107" s="7"/>
      <c r="D107" s="61" t="s">
        <v>1741</v>
      </c>
      <c r="E107" s="10" t="s">
        <v>1742</v>
      </c>
      <c r="F107" s="31" t="s">
        <v>1743</v>
      </c>
      <c r="G107" s="31"/>
    </row>
    <row r="108" customFormat="false" ht="21.75" hidden="false" customHeight="true" outlineLevel="0" collapsed="false">
      <c r="A108" s="52" t="s">
        <v>1744</v>
      </c>
      <c r="B108" s="7" t="s">
        <v>1745</v>
      </c>
      <c r="C108" s="7"/>
      <c r="D108" s="61" t="s">
        <v>1741</v>
      </c>
      <c r="E108" s="10" t="s">
        <v>1746</v>
      </c>
      <c r="F108" s="31" t="s">
        <v>1747</v>
      </c>
      <c r="G108" s="31"/>
    </row>
    <row r="109" customFormat="false" ht="21.75" hidden="false" customHeight="true" outlineLevel="0" collapsed="false">
      <c r="A109" s="52" t="s">
        <v>1748</v>
      </c>
      <c r="B109" s="7" t="s">
        <v>1749</v>
      </c>
      <c r="C109" s="7"/>
      <c r="D109" s="61" t="s">
        <v>1741</v>
      </c>
      <c r="E109" s="10" t="s">
        <v>425</v>
      </c>
      <c r="F109" s="31" t="s">
        <v>1750</v>
      </c>
      <c r="G109" s="31"/>
    </row>
    <row r="110" customFormat="false" ht="21.75" hidden="false" customHeight="true" outlineLevel="0" collapsed="false">
      <c r="A110" s="52" t="s">
        <v>1751</v>
      </c>
      <c r="B110" s="7" t="s">
        <v>1752</v>
      </c>
      <c r="C110" s="7"/>
      <c r="D110" s="61" t="s">
        <v>1741</v>
      </c>
      <c r="E110" s="10" t="s">
        <v>95</v>
      </c>
      <c r="F110" s="31" t="s">
        <v>1753</v>
      </c>
      <c r="G110" s="31"/>
    </row>
    <row r="111" customFormat="false" ht="21.75" hidden="false" customHeight="true" outlineLevel="0" collapsed="false">
      <c r="A111" s="52" t="s">
        <v>1754</v>
      </c>
      <c r="B111" s="7" t="s">
        <v>1755</v>
      </c>
      <c r="C111" s="7"/>
      <c r="D111" s="61" t="s">
        <v>1756</v>
      </c>
      <c r="E111" s="10" t="s">
        <v>1757</v>
      </c>
      <c r="F111" s="31" t="s">
        <v>1758</v>
      </c>
      <c r="G111" s="31"/>
    </row>
    <row r="112" customFormat="false" ht="21.75" hidden="false" customHeight="true" outlineLevel="0" collapsed="false">
      <c r="A112" s="52" t="s">
        <v>1759</v>
      </c>
      <c r="B112" s="7" t="s">
        <v>1760</v>
      </c>
      <c r="C112" s="7"/>
      <c r="D112" s="42" t="s">
        <v>1761</v>
      </c>
      <c r="E112" s="10" t="s">
        <v>1762</v>
      </c>
      <c r="F112" s="31" t="s">
        <v>1763</v>
      </c>
      <c r="G112" s="31"/>
    </row>
    <row r="113" customFormat="false" ht="21.75" hidden="false" customHeight="true" outlineLevel="0" collapsed="false">
      <c r="A113" s="52" t="s">
        <v>1764</v>
      </c>
      <c r="B113" s="7" t="s">
        <v>1765</v>
      </c>
      <c r="C113" s="7"/>
      <c r="D113" s="42" t="s">
        <v>1766</v>
      </c>
      <c r="E113" s="10" t="s">
        <v>1767</v>
      </c>
      <c r="F113" s="31" t="s">
        <v>1768</v>
      </c>
      <c r="G113" s="31"/>
    </row>
    <row r="114" customFormat="false" ht="21.75" hidden="false" customHeight="true" outlineLevel="0" collapsed="false">
      <c r="A114" s="52" t="s">
        <v>1769</v>
      </c>
      <c r="B114" s="7" t="s">
        <v>1770</v>
      </c>
      <c r="C114" s="7"/>
      <c r="D114" s="42" t="s">
        <v>1771</v>
      </c>
      <c r="E114" s="10" t="s">
        <v>1772</v>
      </c>
      <c r="F114" s="31" t="s">
        <v>1773</v>
      </c>
      <c r="G114" s="31"/>
    </row>
    <row r="116" customFormat="false" ht="19.5" hidden="false" customHeight="true" outlineLevel="0" collapsed="false">
      <c r="A116" s="45" t="s">
        <v>1774</v>
      </c>
      <c r="B116" s="45"/>
      <c r="C116" s="45"/>
      <c r="D116" s="45"/>
      <c r="E116" s="45"/>
      <c r="F116" s="45"/>
      <c r="G116" s="45"/>
    </row>
    <row r="117" customFormat="false" ht="18" hidden="false" customHeight="true" outlineLevel="0" collapsed="false">
      <c r="A117" s="3" t="s">
        <v>1775</v>
      </c>
      <c r="B117" s="3" t="s">
        <v>1776</v>
      </c>
      <c r="C117" s="3" t="s">
        <v>1777</v>
      </c>
      <c r="D117" s="3"/>
      <c r="E117" s="3" t="s">
        <v>1778</v>
      </c>
      <c r="F117" s="3" t="s">
        <v>1779</v>
      </c>
      <c r="G117" s="3"/>
    </row>
    <row r="118" customFormat="false" ht="30" hidden="false" customHeight="true" outlineLevel="0" collapsed="false">
      <c r="A118" s="60" t="s">
        <v>1780</v>
      </c>
      <c r="B118" s="7" t="s">
        <v>1781</v>
      </c>
      <c r="C118" s="7"/>
      <c r="D118" s="9" t="s">
        <v>1782</v>
      </c>
      <c r="E118" s="10" t="s">
        <v>1783</v>
      </c>
      <c r="F118" s="8" t="s">
        <v>1784</v>
      </c>
      <c r="G118" s="8"/>
    </row>
    <row r="119" customFormat="false" ht="30" hidden="false" customHeight="true" outlineLevel="0" collapsed="false">
      <c r="A119" s="60" t="s">
        <v>1785</v>
      </c>
      <c r="B119" s="7" t="s">
        <v>1786</v>
      </c>
      <c r="C119" s="7"/>
      <c r="D119" s="9" t="s">
        <v>1787</v>
      </c>
      <c r="E119" s="10" t="s">
        <v>1788</v>
      </c>
      <c r="F119" s="14" t="s">
        <v>1789</v>
      </c>
      <c r="G119" s="14"/>
    </row>
    <row r="120" customFormat="false" ht="30" hidden="false" customHeight="true" outlineLevel="0" collapsed="false">
      <c r="A120" s="60" t="s">
        <v>1790</v>
      </c>
      <c r="B120" s="7" t="s">
        <v>1791</v>
      </c>
      <c r="C120" s="7"/>
      <c r="D120" s="9" t="s">
        <v>1792</v>
      </c>
      <c r="E120" s="10" t="s">
        <v>1793</v>
      </c>
      <c r="F120" s="8" t="s">
        <v>1794</v>
      </c>
      <c r="G120" s="8"/>
    </row>
    <row r="121" customFormat="false" ht="30" hidden="false" customHeight="true" outlineLevel="0" collapsed="false">
      <c r="A121" s="60" t="s">
        <v>1795</v>
      </c>
      <c r="B121" s="7" t="s">
        <v>1796</v>
      </c>
      <c r="C121" s="7"/>
      <c r="D121" s="9" t="s">
        <v>1797</v>
      </c>
      <c r="E121" s="12" t="s">
        <v>1798</v>
      </c>
      <c r="F121" s="8" t="s">
        <v>1799</v>
      </c>
      <c r="G121" s="8"/>
    </row>
    <row r="123" customFormat="false" ht="19.5" hidden="false" customHeight="true" outlineLevel="0" collapsed="false">
      <c r="A123" s="45" t="s">
        <v>1800</v>
      </c>
      <c r="B123" s="45"/>
      <c r="C123" s="45"/>
      <c r="D123" s="45"/>
      <c r="E123" s="45"/>
      <c r="F123" s="45"/>
      <c r="G123" s="45"/>
    </row>
    <row r="124" customFormat="false" ht="18" hidden="false" customHeight="true" outlineLevel="0" collapsed="false">
      <c r="A124" s="3" t="s">
        <v>1801</v>
      </c>
      <c r="B124" s="3" t="s">
        <v>1802</v>
      </c>
      <c r="C124" s="3"/>
      <c r="D124" s="3" t="s">
        <v>1730</v>
      </c>
      <c r="E124" s="3"/>
      <c r="F124" s="3" t="s">
        <v>1803</v>
      </c>
      <c r="G124" s="3"/>
    </row>
    <row r="125" customFormat="false" ht="25.5" hidden="false" customHeight="true" outlineLevel="0" collapsed="false">
      <c r="A125" s="60" t="s">
        <v>1804</v>
      </c>
      <c r="B125" s="7" t="s">
        <v>1805</v>
      </c>
      <c r="C125" s="7"/>
      <c r="D125" s="31" t="s">
        <v>1806</v>
      </c>
      <c r="E125" s="31"/>
      <c r="F125" s="31"/>
      <c r="G125" s="42" t="s">
        <v>1807</v>
      </c>
    </row>
    <row r="126" customFormat="false" ht="25.5" hidden="false" customHeight="true" outlineLevel="0" collapsed="false">
      <c r="A126" s="60" t="s">
        <v>1808</v>
      </c>
      <c r="B126" s="7" t="s">
        <v>1809</v>
      </c>
      <c r="C126" s="7"/>
      <c r="D126" s="31" t="s">
        <v>1810</v>
      </c>
      <c r="E126" s="31"/>
      <c r="F126" s="31"/>
      <c r="G126" s="42" t="s">
        <v>1811</v>
      </c>
    </row>
    <row r="127" customFormat="false" ht="25.5" hidden="false" customHeight="true" outlineLevel="0" collapsed="false">
      <c r="A127" s="60" t="s">
        <v>1812</v>
      </c>
      <c r="B127" s="7" t="s">
        <v>1813</v>
      </c>
      <c r="C127" s="7"/>
      <c r="D127" s="31" t="s">
        <v>1814</v>
      </c>
      <c r="E127" s="31"/>
      <c r="F127" s="31"/>
      <c r="G127" s="42" t="s">
        <v>1815</v>
      </c>
    </row>
    <row r="128" customFormat="false" ht="25.5" hidden="false" customHeight="true" outlineLevel="0" collapsed="false">
      <c r="A128" s="60" t="s">
        <v>1816</v>
      </c>
      <c r="B128" s="7" t="s">
        <v>1817</v>
      </c>
      <c r="C128" s="7"/>
      <c r="D128" s="31" t="s">
        <v>1818</v>
      </c>
      <c r="E128" s="31"/>
      <c r="F128" s="31"/>
      <c r="G128" s="61" t="s">
        <v>22</v>
      </c>
    </row>
    <row r="129" customFormat="false" ht="25.5" hidden="false" customHeight="true" outlineLevel="0" collapsed="false">
      <c r="A129" s="60" t="s">
        <v>1819</v>
      </c>
      <c r="B129" s="7" t="s">
        <v>1820</v>
      </c>
      <c r="C129" s="7"/>
      <c r="D129" s="31" t="s">
        <v>1821</v>
      </c>
      <c r="E129" s="31"/>
      <c r="F129" s="31"/>
      <c r="G129" s="61" t="s">
        <v>22</v>
      </c>
    </row>
    <row r="131" customFormat="false" ht="19.5" hidden="false" customHeight="true" outlineLevel="0" collapsed="false">
      <c r="A131" s="45" t="s">
        <v>1822</v>
      </c>
      <c r="B131" s="45"/>
      <c r="C131" s="45"/>
      <c r="D131" s="45"/>
      <c r="E131" s="45"/>
      <c r="F131" s="45"/>
      <c r="G131" s="45"/>
    </row>
    <row r="132" customFormat="false" ht="24" hidden="false" customHeight="true" outlineLevel="0" collapsed="false">
      <c r="A132" s="60" t="s">
        <v>1823</v>
      </c>
      <c r="B132" s="8" t="s">
        <v>1824</v>
      </c>
      <c r="C132" s="8"/>
      <c r="D132" s="8"/>
      <c r="E132" s="8"/>
      <c r="F132" s="8"/>
      <c r="G132" s="8"/>
    </row>
    <row r="133" customFormat="false" ht="24" hidden="false" customHeight="true" outlineLevel="0" collapsed="false">
      <c r="A133" s="60" t="s">
        <v>1825</v>
      </c>
      <c r="B133" s="8" t="s">
        <v>1826</v>
      </c>
      <c r="C133" s="8"/>
      <c r="D133" s="8"/>
      <c r="E133" s="8"/>
      <c r="F133" s="8"/>
      <c r="G133" s="8"/>
    </row>
    <row r="134" customFormat="false" ht="24" hidden="false" customHeight="true" outlineLevel="0" collapsed="false">
      <c r="A134" s="60" t="s">
        <v>1827</v>
      </c>
      <c r="B134" s="8" t="s">
        <v>1828</v>
      </c>
      <c r="C134" s="8"/>
      <c r="D134" s="8"/>
      <c r="E134" s="8"/>
      <c r="F134" s="8"/>
      <c r="G134" s="8"/>
    </row>
    <row r="135" customFormat="false" ht="24" hidden="false" customHeight="true" outlineLevel="0" collapsed="false">
      <c r="A135" s="60" t="s">
        <v>1829</v>
      </c>
      <c r="B135" s="8" t="s">
        <v>1830</v>
      </c>
      <c r="C135" s="8"/>
      <c r="D135" s="8"/>
      <c r="E135" s="8"/>
      <c r="F135" s="8"/>
      <c r="G135" s="8"/>
    </row>
    <row r="136" customFormat="false" ht="24" hidden="false" customHeight="true" outlineLevel="0" collapsed="false">
      <c r="A136" s="60" t="s">
        <v>1831</v>
      </c>
      <c r="B136" s="8" t="s">
        <v>1832</v>
      </c>
      <c r="C136" s="8"/>
      <c r="D136" s="8"/>
      <c r="E136" s="8"/>
      <c r="F136" s="8"/>
      <c r="G136" s="8"/>
    </row>
    <row r="137" customFormat="false" ht="24" hidden="false" customHeight="true" outlineLevel="0" collapsed="false">
      <c r="A137" s="60" t="s">
        <v>1833</v>
      </c>
      <c r="B137" s="14" t="s">
        <v>1834</v>
      </c>
      <c r="C137" s="14"/>
      <c r="D137" s="14"/>
      <c r="E137" s="14"/>
      <c r="F137" s="14"/>
      <c r="G137" s="14"/>
    </row>
    <row r="138" customFormat="false" ht="24" hidden="false" customHeight="true" outlineLevel="0" collapsed="false">
      <c r="A138" s="60" t="s">
        <v>1835</v>
      </c>
      <c r="B138" s="8" t="s">
        <v>1836</v>
      </c>
      <c r="C138" s="8"/>
      <c r="D138" s="8"/>
      <c r="E138" s="8"/>
      <c r="F138" s="8"/>
      <c r="G138" s="8"/>
    </row>
    <row r="139" customFormat="false" ht="24" hidden="false" customHeight="true" outlineLevel="0" collapsed="false">
      <c r="A139" s="60" t="s">
        <v>1837</v>
      </c>
      <c r="B139" s="14" t="s">
        <v>1838</v>
      </c>
      <c r="C139" s="14"/>
      <c r="D139" s="14"/>
      <c r="E139" s="14"/>
      <c r="F139" s="14"/>
      <c r="G139" s="14"/>
    </row>
    <row r="141" customFormat="false" ht="19.5" hidden="false" customHeight="true" outlineLevel="0" collapsed="false">
      <c r="A141" s="45" t="s">
        <v>1839</v>
      </c>
      <c r="B141" s="45"/>
      <c r="C141" s="45"/>
      <c r="D141" s="45"/>
      <c r="E141" s="45"/>
      <c r="F141" s="45"/>
      <c r="G141" s="45"/>
    </row>
    <row r="142" customFormat="false" ht="18" hidden="false" customHeight="true" outlineLevel="0" collapsed="false">
      <c r="A142" s="3" t="s">
        <v>1840</v>
      </c>
      <c r="B142" s="3" t="s">
        <v>1841</v>
      </c>
      <c r="C142" s="3"/>
      <c r="D142" s="3" t="s">
        <v>1842</v>
      </c>
      <c r="E142" s="3"/>
      <c r="F142" s="3" t="s">
        <v>1843</v>
      </c>
      <c r="G142" s="3"/>
    </row>
    <row r="143" customFormat="false" ht="24" hidden="false" customHeight="true" outlineLevel="0" collapsed="false">
      <c r="A143" s="60" t="s">
        <v>1844</v>
      </c>
      <c r="B143" s="15" t="s">
        <v>1845</v>
      </c>
      <c r="C143" s="15"/>
      <c r="D143" s="15" t="s">
        <v>1846</v>
      </c>
      <c r="E143" s="15"/>
      <c r="F143" s="8" t="s">
        <v>1847</v>
      </c>
      <c r="G143" s="8"/>
    </row>
    <row r="144" customFormat="false" ht="24" hidden="false" customHeight="true" outlineLevel="0" collapsed="false">
      <c r="A144" s="60" t="s">
        <v>1848</v>
      </c>
      <c r="B144" s="15" t="s">
        <v>1849</v>
      </c>
      <c r="C144" s="15"/>
      <c r="D144" s="15" t="s">
        <v>1850</v>
      </c>
      <c r="E144" s="15"/>
      <c r="F144" s="8" t="s">
        <v>1851</v>
      </c>
      <c r="G144" s="8"/>
    </row>
    <row r="145" customFormat="false" ht="24" hidden="false" customHeight="true" outlineLevel="0" collapsed="false">
      <c r="A145" s="46" t="s">
        <v>1852</v>
      </c>
      <c r="B145" s="9" t="s">
        <v>1853</v>
      </c>
      <c r="C145" s="9"/>
      <c r="D145" s="15" t="s">
        <v>1854</v>
      </c>
      <c r="E145" s="15"/>
      <c r="F145" s="14" t="s">
        <v>1855</v>
      </c>
      <c r="G145" s="14"/>
    </row>
    <row r="146" customFormat="false" ht="24" hidden="false" customHeight="true" outlineLevel="0" collapsed="false">
      <c r="A146" s="60" t="s">
        <v>1856</v>
      </c>
      <c r="B146" s="15" t="s">
        <v>1857</v>
      </c>
      <c r="C146" s="15"/>
      <c r="D146" s="15" t="s">
        <v>1858</v>
      </c>
      <c r="E146" s="15"/>
      <c r="F146" s="8" t="s">
        <v>1859</v>
      </c>
      <c r="G146" s="8"/>
    </row>
    <row r="147" customFormat="false" ht="24" hidden="false" customHeight="true" outlineLevel="0" collapsed="false">
      <c r="A147" s="60" t="s">
        <v>1860</v>
      </c>
      <c r="B147" s="9" t="s">
        <v>1861</v>
      </c>
      <c r="C147" s="9"/>
      <c r="D147" s="9" t="s">
        <v>1862</v>
      </c>
      <c r="E147" s="9"/>
      <c r="F147" s="8" t="s">
        <v>1863</v>
      </c>
      <c r="G147" s="8"/>
    </row>
    <row r="148" customFormat="false" ht="24" hidden="false" customHeight="true" outlineLevel="0" collapsed="false">
      <c r="A148" s="60" t="s">
        <v>1864</v>
      </c>
      <c r="B148" s="9" t="s">
        <v>1640</v>
      </c>
      <c r="C148" s="9"/>
      <c r="D148" s="9" t="s">
        <v>1865</v>
      </c>
      <c r="E148" s="9"/>
      <c r="F148" s="8" t="s">
        <v>1866</v>
      </c>
      <c r="G148" s="8"/>
    </row>
    <row r="149" customFormat="false" ht="24" hidden="false" customHeight="true" outlineLevel="0" collapsed="false">
      <c r="A149" s="60" t="s">
        <v>1867</v>
      </c>
      <c r="B149" s="9" t="s">
        <v>1868</v>
      </c>
      <c r="C149" s="9"/>
      <c r="D149" s="9" t="s">
        <v>1869</v>
      </c>
      <c r="E149" s="9"/>
      <c r="F149" s="8" t="s">
        <v>1870</v>
      </c>
      <c r="G149" s="8"/>
    </row>
    <row r="150" customFormat="false" ht="24" hidden="false" customHeight="true" outlineLevel="0" collapsed="false">
      <c r="A150" s="60" t="s">
        <v>1871</v>
      </c>
      <c r="B150" s="9" t="s">
        <v>1638</v>
      </c>
      <c r="C150" s="9"/>
      <c r="D150" s="9" t="s">
        <v>1872</v>
      </c>
      <c r="E150" s="9"/>
      <c r="F150" s="8" t="s">
        <v>1873</v>
      </c>
      <c r="G150" s="8"/>
    </row>
    <row r="151" customFormat="false" ht="24" hidden="false" customHeight="true" outlineLevel="0" collapsed="false">
      <c r="A151" s="46" t="s">
        <v>1874</v>
      </c>
      <c r="B151" s="9" t="s">
        <v>1875</v>
      </c>
      <c r="C151" s="9"/>
      <c r="D151" s="9" t="s">
        <v>1876</v>
      </c>
      <c r="E151" s="9"/>
      <c r="F151" s="8" t="s">
        <v>1877</v>
      </c>
      <c r="G151" s="8"/>
    </row>
    <row r="152" customFormat="false" ht="24" hidden="false" customHeight="true" outlineLevel="0" collapsed="false">
      <c r="A152" s="60" t="s">
        <v>1878</v>
      </c>
      <c r="B152" s="9" t="s">
        <v>1879</v>
      </c>
      <c r="C152" s="9"/>
      <c r="D152" s="9" t="s">
        <v>1880</v>
      </c>
      <c r="E152" s="9"/>
      <c r="F152" s="8" t="s">
        <v>1881</v>
      </c>
      <c r="G152" s="8"/>
    </row>
  </sheetData>
  <mergeCells count="134"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5:G15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A48:G48"/>
    <mergeCell ref="A75:G75"/>
    <mergeCell ref="C76:G76"/>
    <mergeCell ref="B77:C77"/>
    <mergeCell ref="D77:G77"/>
    <mergeCell ref="B78:G78"/>
    <mergeCell ref="B79:G79"/>
    <mergeCell ref="B80:G80"/>
    <mergeCell ref="B81:G81"/>
    <mergeCell ref="B82:G82"/>
    <mergeCell ref="B83:G83"/>
    <mergeCell ref="A85:G85"/>
    <mergeCell ref="A103:G103"/>
    <mergeCell ref="B105:C105"/>
    <mergeCell ref="F105:G105"/>
    <mergeCell ref="B106:C106"/>
    <mergeCell ref="F106:G106"/>
    <mergeCell ref="B107:C107"/>
    <mergeCell ref="F107:G107"/>
    <mergeCell ref="B108:C108"/>
    <mergeCell ref="F108:G108"/>
    <mergeCell ref="B109:C109"/>
    <mergeCell ref="F109:G109"/>
    <mergeCell ref="B110:C110"/>
    <mergeCell ref="F110:G110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A116:G116"/>
    <mergeCell ref="B118:C118"/>
    <mergeCell ref="F118:G118"/>
    <mergeCell ref="B119:C119"/>
    <mergeCell ref="F119:G119"/>
    <mergeCell ref="B120:C120"/>
    <mergeCell ref="F120:G120"/>
    <mergeCell ref="B121:C121"/>
    <mergeCell ref="F121:G121"/>
    <mergeCell ref="A123:G123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29:C129"/>
    <mergeCell ref="D129:F129"/>
    <mergeCell ref="A131:G131"/>
    <mergeCell ref="B132:G132"/>
    <mergeCell ref="B133:G133"/>
    <mergeCell ref="B134:G134"/>
    <mergeCell ref="B135:G135"/>
    <mergeCell ref="B136:G136"/>
    <mergeCell ref="B137:G137"/>
    <mergeCell ref="B138:G138"/>
    <mergeCell ref="B139:G139"/>
    <mergeCell ref="A141:G141"/>
    <mergeCell ref="B143:C143"/>
    <mergeCell ref="D143:E143"/>
    <mergeCell ref="F143:G143"/>
    <mergeCell ref="B144:C144"/>
    <mergeCell ref="D144:E144"/>
    <mergeCell ref="F144:G144"/>
    <mergeCell ref="B145:C145"/>
    <mergeCell ref="D145:E145"/>
    <mergeCell ref="F145:G145"/>
    <mergeCell ref="B146:C146"/>
    <mergeCell ref="D146:E146"/>
    <mergeCell ref="F146:G146"/>
    <mergeCell ref="B147:C147"/>
    <mergeCell ref="D147:E147"/>
    <mergeCell ref="F147:G147"/>
    <mergeCell ref="B148:C148"/>
    <mergeCell ref="D148:E148"/>
    <mergeCell ref="F148:G148"/>
    <mergeCell ref="B149:C149"/>
    <mergeCell ref="D149:E149"/>
    <mergeCell ref="F149:G149"/>
    <mergeCell ref="B150:C150"/>
    <mergeCell ref="D150:E150"/>
    <mergeCell ref="F150:G150"/>
    <mergeCell ref="B151:C151"/>
    <mergeCell ref="D151:E151"/>
    <mergeCell ref="F151:G151"/>
    <mergeCell ref="B152:C152"/>
    <mergeCell ref="D152:E152"/>
    <mergeCell ref="F152:G152"/>
  </mergeCells>
  <conditionalFormatting sqref="D50:D73">
    <cfRule type="cellIs" priority="2" operator="equal" aboveAverage="0" equalAverage="0" bottom="0" percent="0" rank="0" text="" dxfId="12">
      <formula>0</formula>
    </cfRule>
    <cfRule type="cellIs" priority="3" operator="equal" aboveAverage="0" equalAverage="0" bottom="0" percent="0" rank="0" text="" dxfId="13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2026-08-09T10:12:26Z</dcterms:created>
  <dc:creator>openpyxl</dc:creator>
  <dc:description/>
  <dc:language>en-US</dc:language>
  <cp:lastModifiedBy/>
  <dcterms:modified xsi:type="dcterms:W3CDTF">2026-08-09T10:12:27Z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