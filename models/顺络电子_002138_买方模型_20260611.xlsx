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b217f30f1a426e0/Prior Knowledge/深度研究/顺络电子/"/>
    </mc:Choice>
  </mc:AlternateContent>
  <xr:revisionPtr revIDLastSave="94" documentId="11_DE97F9A39803AB2FFD788455A312C2175E235F1A" xr6:coauthVersionLast="47" xr6:coauthVersionMax="47" xr10:uidLastSave="{18D7A7BD-338C-41A6-8D75-6E0EEF2A6A31}"/>
  <bookViews>
    <workbookView xWindow="-110" yWindow="-110" windowWidth="25820" windowHeight="15500" tabRatio="888" xr2:uid="{00000000-000D-0000-FFFF-FFFF00000000}"/>
  </bookViews>
  <sheets>
    <sheet name="投资观点" sheetId="6" r:id="rId1"/>
    <sheet name="Drivers" sheetId="1" r:id="rId2"/>
    <sheet name="IS" sheetId="2" r:id="rId3"/>
    <sheet name="BS" sheetId="3" r:id="rId4"/>
    <sheet name="CF" sheetId="4" r:id="rId5"/>
    <sheet name="Valuation" sheetId="5" r:id="rId6"/>
    <sheet name="行业对比" sheetId="7" r:id="rId7"/>
    <sheet name="业务1_手机电感" sheetId="8" r:id="rId8"/>
    <sheet name="业务2_消费AIoT" sheetId="9" r:id="rId9"/>
    <sheet name="业务3_汽车储能" sheetId="10" r:id="rId10"/>
    <sheet name="业务4_AI电感" sheetId="11" r:id="rId11"/>
    <sheet name="业务5_钽电容" sheetId="12" r:id="rId12"/>
    <sheet name="其他业务" sheetId="13" r:id="rId13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3" l="1"/>
  <c r="E9" i="13"/>
  <c r="C8" i="13"/>
  <c r="B8" i="13"/>
  <c r="F5" i="13"/>
  <c r="E5" i="13"/>
  <c r="C4" i="13"/>
  <c r="B4" i="13"/>
  <c r="F13" i="12"/>
  <c r="F10" i="12"/>
  <c r="E10" i="12"/>
  <c r="E13" i="12" s="1"/>
  <c r="D10" i="12"/>
  <c r="D13" i="12" s="1"/>
  <c r="C10" i="12"/>
  <c r="C12" i="12" s="1"/>
  <c r="B10" i="12"/>
  <c r="F6" i="12"/>
  <c r="E6" i="12"/>
  <c r="D6" i="12"/>
  <c r="C6" i="12"/>
  <c r="B6" i="12"/>
  <c r="B19" i="11"/>
  <c r="F15" i="11"/>
  <c r="E15" i="11"/>
  <c r="F12" i="11"/>
  <c r="F14" i="11" s="1"/>
  <c r="F16" i="11" s="1"/>
  <c r="E12" i="11"/>
  <c r="E14" i="11" s="1"/>
  <c r="E16" i="11" s="1"/>
  <c r="D12" i="11"/>
  <c r="D14" i="11" s="1"/>
  <c r="C12" i="11"/>
  <c r="F6" i="11"/>
  <c r="E6" i="11"/>
  <c r="D6" i="11"/>
  <c r="C6" i="11"/>
  <c r="B6" i="11"/>
  <c r="C14" i="10"/>
  <c r="C13" i="10"/>
  <c r="B13" i="10"/>
  <c r="D11" i="10"/>
  <c r="D13" i="10" s="1"/>
  <c r="F9" i="10"/>
  <c r="F11" i="10" s="1"/>
  <c r="F13" i="10" s="1"/>
  <c r="E9" i="10"/>
  <c r="E11" i="10" s="1"/>
  <c r="E13" i="10" s="1"/>
  <c r="D9" i="10"/>
  <c r="F8" i="9"/>
  <c r="U10" i="1" s="1"/>
  <c r="E8" i="9"/>
  <c r="N10" i="1" s="1"/>
  <c r="N9" i="1" s="1"/>
  <c r="F7" i="9"/>
  <c r="E7" i="9"/>
  <c r="F6" i="9"/>
  <c r="E6" i="9"/>
  <c r="D6" i="9"/>
  <c r="C6" i="9"/>
  <c r="B6" i="9"/>
  <c r="C11" i="8"/>
  <c r="C10" i="8"/>
  <c r="B10" i="8"/>
  <c r="C9" i="8"/>
  <c r="B9" i="8"/>
  <c r="F8" i="8"/>
  <c r="F10" i="8" s="1"/>
  <c r="F6" i="8"/>
  <c r="E6" i="8"/>
  <c r="E8" i="8" s="1"/>
  <c r="E10" i="8" s="1"/>
  <c r="D6" i="8"/>
  <c r="D8" i="8" s="1"/>
  <c r="D10" i="8" s="1"/>
  <c r="C6" i="8"/>
  <c r="C8" i="8" s="1"/>
  <c r="B6" i="8"/>
  <c r="B8" i="8" s="1"/>
  <c r="C11" i="7"/>
  <c r="F19" i="5"/>
  <c r="F6" i="5"/>
  <c r="H33" i="4"/>
  <c r="C33" i="4"/>
  <c r="B33" i="4"/>
  <c r="I30" i="4"/>
  <c r="B29" i="4"/>
  <c r="V28" i="4"/>
  <c r="U28" i="4"/>
  <c r="T28" i="4"/>
  <c r="W28" i="4" s="1"/>
  <c r="S28" i="4"/>
  <c r="Q28" i="4"/>
  <c r="R28" i="4" s="1"/>
  <c r="P28" i="4"/>
  <c r="O28" i="4"/>
  <c r="N28" i="4"/>
  <c r="M28" i="4"/>
  <c r="L28" i="4"/>
  <c r="K28" i="4"/>
  <c r="J28" i="4"/>
  <c r="I28" i="4"/>
  <c r="J26" i="4"/>
  <c r="H26" i="4"/>
  <c r="C26" i="4"/>
  <c r="B26" i="4"/>
  <c r="V25" i="4"/>
  <c r="U25" i="4"/>
  <c r="T25" i="4"/>
  <c r="S25" i="4"/>
  <c r="Q25" i="4"/>
  <c r="P25" i="4"/>
  <c r="O25" i="4"/>
  <c r="N25" i="4"/>
  <c r="R25" i="4" s="1"/>
  <c r="L25" i="4"/>
  <c r="L26" i="4" s="1"/>
  <c r="K25" i="4"/>
  <c r="J25" i="4"/>
  <c r="I25" i="4"/>
  <c r="V24" i="4"/>
  <c r="T24" i="4"/>
  <c r="S24" i="4"/>
  <c r="W24" i="4" s="1"/>
  <c r="Q24" i="4"/>
  <c r="O24" i="4"/>
  <c r="R24" i="4" s="1"/>
  <c r="N24" i="4"/>
  <c r="L24" i="4"/>
  <c r="J24" i="4"/>
  <c r="I24" i="4"/>
  <c r="V23" i="4"/>
  <c r="V26" i="4" s="1"/>
  <c r="T23" i="4"/>
  <c r="S23" i="4"/>
  <c r="Q23" i="4"/>
  <c r="O23" i="4"/>
  <c r="N23" i="4"/>
  <c r="L23" i="4"/>
  <c r="K23" i="4"/>
  <c r="J23" i="4"/>
  <c r="I23" i="4"/>
  <c r="M23" i="4" s="1"/>
  <c r="W22" i="4"/>
  <c r="R22" i="4"/>
  <c r="M22" i="4"/>
  <c r="W21" i="4"/>
  <c r="V21" i="4"/>
  <c r="U21" i="4"/>
  <c r="T21" i="4"/>
  <c r="S21" i="4"/>
  <c r="Q21" i="4"/>
  <c r="P21" i="4"/>
  <c r="O21" i="4"/>
  <c r="N21" i="4"/>
  <c r="N26" i="4" s="1"/>
  <c r="L21" i="4"/>
  <c r="K21" i="4"/>
  <c r="K26" i="4" s="1"/>
  <c r="J21" i="4"/>
  <c r="I21" i="4"/>
  <c r="M21" i="4" s="1"/>
  <c r="V20" i="4"/>
  <c r="U20" i="4"/>
  <c r="T20" i="4"/>
  <c r="S20" i="4"/>
  <c r="Q20" i="4"/>
  <c r="P20" i="4"/>
  <c r="O20" i="4"/>
  <c r="O26" i="4" s="1"/>
  <c r="N20" i="4"/>
  <c r="R20" i="4" s="1"/>
  <c r="L20" i="4"/>
  <c r="K20" i="4"/>
  <c r="J20" i="4"/>
  <c r="I20" i="4"/>
  <c r="M20" i="4" s="1"/>
  <c r="T18" i="4"/>
  <c r="O18" i="4"/>
  <c r="K18" i="4"/>
  <c r="H18" i="4"/>
  <c r="C18" i="4"/>
  <c r="C29" i="4" s="1"/>
  <c r="B18" i="4"/>
  <c r="W17" i="4"/>
  <c r="V17" i="4"/>
  <c r="U17" i="4"/>
  <c r="T17" i="4"/>
  <c r="S17" i="4"/>
  <c r="Q17" i="4"/>
  <c r="Q18" i="4" s="1"/>
  <c r="P17" i="4"/>
  <c r="P18" i="4" s="1"/>
  <c r="O17" i="4"/>
  <c r="N17" i="4"/>
  <c r="R17" i="4" s="1"/>
  <c r="M17" i="4"/>
  <c r="L17" i="4"/>
  <c r="L18" i="4" s="1"/>
  <c r="K17" i="4"/>
  <c r="J17" i="4"/>
  <c r="I17" i="4"/>
  <c r="V16" i="4"/>
  <c r="V18" i="4" s="1"/>
  <c r="U16" i="4"/>
  <c r="U18" i="4" s="1"/>
  <c r="T16" i="4"/>
  <c r="S16" i="4"/>
  <c r="Q16" i="4"/>
  <c r="P16" i="4"/>
  <c r="O16" i="4"/>
  <c r="N16" i="4"/>
  <c r="L16" i="4"/>
  <c r="K16" i="4"/>
  <c r="J16" i="4"/>
  <c r="J18" i="4" s="1"/>
  <c r="I16" i="4"/>
  <c r="M16" i="4" s="1"/>
  <c r="W13" i="4"/>
  <c r="V13" i="4"/>
  <c r="U13" i="4"/>
  <c r="T13" i="4"/>
  <c r="S13" i="4"/>
  <c r="Q13" i="4"/>
  <c r="P13" i="4"/>
  <c r="O13" i="4"/>
  <c r="N13" i="4"/>
  <c r="M13" i="4"/>
  <c r="L13" i="4"/>
  <c r="K13" i="4"/>
  <c r="J13" i="4"/>
  <c r="I13" i="4"/>
  <c r="H13" i="4"/>
  <c r="C13" i="4"/>
  <c r="B13" i="4"/>
  <c r="W9" i="4"/>
  <c r="R9" i="4"/>
  <c r="M9" i="4"/>
  <c r="V8" i="4"/>
  <c r="Q8" i="4"/>
  <c r="P8" i="4"/>
  <c r="O8" i="4"/>
  <c r="N8" i="4"/>
  <c r="R8" i="4" s="1"/>
  <c r="K8" i="4"/>
  <c r="H34" i="3"/>
  <c r="C34" i="3"/>
  <c r="B34" i="3"/>
  <c r="C31" i="3"/>
  <c r="H30" i="3"/>
  <c r="C30" i="3"/>
  <c r="B30" i="3"/>
  <c r="I26" i="3"/>
  <c r="J26" i="3" s="1"/>
  <c r="K26" i="3" s="1"/>
  <c r="L26" i="3" s="1"/>
  <c r="I25" i="3"/>
  <c r="J25" i="3" s="1"/>
  <c r="K25" i="3" s="1"/>
  <c r="L25" i="3" s="1"/>
  <c r="H24" i="3"/>
  <c r="H27" i="3" s="1"/>
  <c r="H31" i="3" s="1"/>
  <c r="C24" i="3"/>
  <c r="C27" i="3" s="1"/>
  <c r="B24" i="3"/>
  <c r="B27" i="3" s="1"/>
  <c r="B31" i="3" s="1"/>
  <c r="I23" i="3"/>
  <c r="J23" i="3" s="1"/>
  <c r="K23" i="3" s="1"/>
  <c r="L23" i="3" s="1"/>
  <c r="I22" i="3"/>
  <c r="J22" i="3" s="1"/>
  <c r="K22" i="3" s="1"/>
  <c r="L22" i="3" s="1"/>
  <c r="B17" i="3"/>
  <c r="B32" i="3" s="1"/>
  <c r="I16" i="3"/>
  <c r="H16" i="3"/>
  <c r="C16" i="3"/>
  <c r="B16" i="3"/>
  <c r="J15" i="3"/>
  <c r="K15" i="3" s="1"/>
  <c r="L15" i="3" s="1"/>
  <c r="N15" i="3" s="1"/>
  <c r="O15" i="3" s="1"/>
  <c r="P15" i="3" s="1"/>
  <c r="Q15" i="3" s="1"/>
  <c r="I15" i="3"/>
  <c r="J14" i="3"/>
  <c r="K14" i="3" s="1"/>
  <c r="L14" i="3" s="1"/>
  <c r="I14" i="3"/>
  <c r="N13" i="3"/>
  <c r="O13" i="3" s="1"/>
  <c r="P13" i="3" s="1"/>
  <c r="Q13" i="3" s="1"/>
  <c r="I13" i="3"/>
  <c r="J13" i="3" s="1"/>
  <c r="K13" i="3" s="1"/>
  <c r="L13" i="3" s="1"/>
  <c r="M13" i="3" s="1"/>
  <c r="I12" i="3"/>
  <c r="J12" i="3" s="1"/>
  <c r="H11" i="3"/>
  <c r="H17" i="3" s="1"/>
  <c r="H32" i="3" s="1"/>
  <c r="C11" i="3"/>
  <c r="C17" i="3" s="1"/>
  <c r="C32" i="3" s="1"/>
  <c r="B11" i="3"/>
  <c r="I10" i="3"/>
  <c r="J10" i="3" s="1"/>
  <c r="K10" i="3" s="1"/>
  <c r="L10" i="3" s="1"/>
  <c r="I36" i="2"/>
  <c r="H36" i="2"/>
  <c r="G36" i="2"/>
  <c r="F36" i="2"/>
  <c r="E36" i="2"/>
  <c r="D36" i="2"/>
  <c r="C36" i="2"/>
  <c r="B36" i="2"/>
  <c r="G33" i="2"/>
  <c r="G34" i="2" s="1"/>
  <c r="G35" i="2" s="1"/>
  <c r="C33" i="2"/>
  <c r="Q32" i="2"/>
  <c r="P32" i="2"/>
  <c r="O32" i="2"/>
  <c r="G28" i="2"/>
  <c r="F28" i="2"/>
  <c r="E28" i="2"/>
  <c r="D28" i="2"/>
  <c r="B28" i="2"/>
  <c r="C22" i="2"/>
  <c r="V21" i="2"/>
  <c r="U21" i="2"/>
  <c r="T21" i="2"/>
  <c r="S21" i="2"/>
  <c r="W21" i="2" s="1"/>
  <c r="Q21" i="2"/>
  <c r="P21" i="2"/>
  <c r="R21" i="2" s="1"/>
  <c r="O21" i="2"/>
  <c r="N21" i="2"/>
  <c r="L21" i="2"/>
  <c r="M21" i="2" s="1"/>
  <c r="K21" i="2"/>
  <c r="J21" i="2"/>
  <c r="I21" i="2"/>
  <c r="C20" i="2"/>
  <c r="G19" i="2"/>
  <c r="F19" i="2"/>
  <c r="V18" i="2"/>
  <c r="U18" i="2"/>
  <c r="T18" i="2"/>
  <c r="S18" i="2"/>
  <c r="Q18" i="2"/>
  <c r="P18" i="2"/>
  <c r="R18" i="2" s="1"/>
  <c r="O18" i="2"/>
  <c r="N18" i="2"/>
  <c r="L18" i="2"/>
  <c r="K18" i="2"/>
  <c r="J18" i="2"/>
  <c r="I18" i="2"/>
  <c r="V17" i="2"/>
  <c r="U17" i="2"/>
  <c r="T17" i="2"/>
  <c r="S17" i="2"/>
  <c r="W17" i="2" s="1"/>
  <c r="Q17" i="2"/>
  <c r="R17" i="2" s="1"/>
  <c r="P17" i="2"/>
  <c r="O17" i="2"/>
  <c r="N17" i="2"/>
  <c r="L17" i="2"/>
  <c r="K17" i="2"/>
  <c r="J17" i="2"/>
  <c r="I17" i="2"/>
  <c r="W16" i="2"/>
  <c r="V16" i="2"/>
  <c r="U16" i="2"/>
  <c r="T16" i="2"/>
  <c r="S16" i="2"/>
  <c r="R16" i="2"/>
  <c r="Q16" i="2"/>
  <c r="P16" i="2"/>
  <c r="O16" i="2"/>
  <c r="N16" i="2"/>
  <c r="L16" i="2"/>
  <c r="K16" i="2"/>
  <c r="J16" i="2"/>
  <c r="I16" i="2"/>
  <c r="M16" i="2" s="1"/>
  <c r="H10" i="2"/>
  <c r="F10" i="2"/>
  <c r="C10" i="2"/>
  <c r="B10" i="2"/>
  <c r="H9" i="2"/>
  <c r="H34" i="1" s="1"/>
  <c r="G9" i="2"/>
  <c r="G34" i="1" s="1"/>
  <c r="F9" i="2"/>
  <c r="E9" i="2"/>
  <c r="D9" i="2"/>
  <c r="D19" i="2" s="1"/>
  <c r="C9" i="2"/>
  <c r="C19" i="2" s="1"/>
  <c r="B9" i="2"/>
  <c r="B19" i="2" s="1"/>
  <c r="H7" i="2"/>
  <c r="G7" i="2"/>
  <c r="F7" i="2"/>
  <c r="E7" i="2"/>
  <c r="D7" i="2"/>
  <c r="C7" i="2"/>
  <c r="B7" i="2"/>
  <c r="H67" i="1"/>
  <c r="H66" i="1"/>
  <c r="H65" i="1"/>
  <c r="W64" i="1"/>
  <c r="R64" i="1"/>
  <c r="M64" i="1"/>
  <c r="J61" i="1"/>
  <c r="J36" i="2" s="1"/>
  <c r="I61" i="1"/>
  <c r="H59" i="1"/>
  <c r="G59" i="1"/>
  <c r="F59" i="1"/>
  <c r="E59" i="1"/>
  <c r="D59" i="1"/>
  <c r="C59" i="1"/>
  <c r="B59" i="1"/>
  <c r="H58" i="1"/>
  <c r="C58" i="1"/>
  <c r="I57" i="1"/>
  <c r="W56" i="1"/>
  <c r="R56" i="1"/>
  <c r="M56" i="1"/>
  <c r="C56" i="1"/>
  <c r="I55" i="1"/>
  <c r="M55" i="1" s="1"/>
  <c r="H55" i="1"/>
  <c r="H56" i="1" s="1"/>
  <c r="C55" i="1"/>
  <c r="H53" i="1"/>
  <c r="C53" i="1"/>
  <c r="B53" i="1"/>
  <c r="H52" i="1"/>
  <c r="C52" i="1"/>
  <c r="B52" i="1"/>
  <c r="H51" i="1"/>
  <c r="C51" i="1"/>
  <c r="B51" i="1"/>
  <c r="W50" i="1"/>
  <c r="R50" i="1"/>
  <c r="M50" i="1"/>
  <c r="V49" i="1"/>
  <c r="V32" i="2" s="1"/>
  <c r="U49" i="1"/>
  <c r="T49" i="1"/>
  <c r="T32" i="2" s="1"/>
  <c r="S49" i="1"/>
  <c r="S32" i="2" s="1"/>
  <c r="Q49" i="1"/>
  <c r="P49" i="1"/>
  <c r="O49" i="1"/>
  <c r="N49" i="1"/>
  <c r="R49" i="1" s="1"/>
  <c r="L49" i="1"/>
  <c r="L32" i="2" s="1"/>
  <c r="K49" i="1"/>
  <c r="K32" i="2" s="1"/>
  <c r="J49" i="1"/>
  <c r="I49" i="1"/>
  <c r="H49" i="1"/>
  <c r="H32" i="2" s="1"/>
  <c r="G49" i="1"/>
  <c r="G32" i="2" s="1"/>
  <c r="D49" i="1"/>
  <c r="D32" i="2" s="1"/>
  <c r="C49" i="1"/>
  <c r="C32" i="2" s="1"/>
  <c r="B49" i="1"/>
  <c r="B32" i="2" s="1"/>
  <c r="W48" i="1"/>
  <c r="R48" i="1"/>
  <c r="M48" i="1"/>
  <c r="G48" i="1"/>
  <c r="F48" i="1"/>
  <c r="F49" i="1" s="1"/>
  <c r="F32" i="2" s="1"/>
  <c r="E48" i="1"/>
  <c r="D48" i="1"/>
  <c r="W47" i="1"/>
  <c r="R47" i="1"/>
  <c r="M47" i="1"/>
  <c r="G47" i="1"/>
  <c r="F47" i="1"/>
  <c r="E47" i="1"/>
  <c r="E49" i="1" s="1"/>
  <c r="E32" i="2" s="1"/>
  <c r="D47" i="1"/>
  <c r="W43" i="1"/>
  <c r="R43" i="1"/>
  <c r="M43" i="1"/>
  <c r="H43" i="1"/>
  <c r="G43" i="1"/>
  <c r="F43" i="1"/>
  <c r="E43" i="1"/>
  <c r="D43" i="1"/>
  <c r="C43" i="1"/>
  <c r="B43" i="1"/>
  <c r="W42" i="1"/>
  <c r="R42" i="1"/>
  <c r="M42" i="1"/>
  <c r="H42" i="1"/>
  <c r="G42" i="1"/>
  <c r="F42" i="1"/>
  <c r="E42" i="1"/>
  <c r="D42" i="1"/>
  <c r="C42" i="1"/>
  <c r="B42" i="1"/>
  <c r="W41" i="1"/>
  <c r="R41" i="1"/>
  <c r="M41" i="1"/>
  <c r="H41" i="1"/>
  <c r="G41" i="1"/>
  <c r="F41" i="1"/>
  <c r="E41" i="1"/>
  <c r="D41" i="1"/>
  <c r="C41" i="1"/>
  <c r="B41" i="1"/>
  <c r="W40" i="1"/>
  <c r="R40" i="1"/>
  <c r="M40" i="1"/>
  <c r="H40" i="1"/>
  <c r="G40" i="1"/>
  <c r="F40" i="1"/>
  <c r="E40" i="1"/>
  <c r="D40" i="1"/>
  <c r="C40" i="1"/>
  <c r="B40" i="1"/>
  <c r="H39" i="1"/>
  <c r="G39" i="1"/>
  <c r="F39" i="1"/>
  <c r="E39" i="1"/>
  <c r="D39" i="1"/>
  <c r="C39" i="1"/>
  <c r="B39" i="1"/>
  <c r="H38" i="1"/>
  <c r="G38" i="1"/>
  <c r="F38" i="1"/>
  <c r="E38" i="1"/>
  <c r="D38" i="1"/>
  <c r="C38" i="1"/>
  <c r="B38" i="1"/>
  <c r="H37" i="1"/>
  <c r="G37" i="1"/>
  <c r="F37" i="1"/>
  <c r="E37" i="1"/>
  <c r="D37" i="1"/>
  <c r="C37" i="1"/>
  <c r="B37" i="1"/>
  <c r="H36" i="1"/>
  <c r="G36" i="1"/>
  <c r="F36" i="1"/>
  <c r="E36" i="1"/>
  <c r="D36" i="1"/>
  <c r="C36" i="1"/>
  <c r="B36" i="1"/>
  <c r="F34" i="1"/>
  <c r="C34" i="1"/>
  <c r="B34" i="1"/>
  <c r="V32" i="1"/>
  <c r="U32" i="1"/>
  <c r="T32" i="1"/>
  <c r="S32" i="1"/>
  <c r="Q32" i="1"/>
  <c r="P32" i="1"/>
  <c r="O32" i="1"/>
  <c r="N32" i="1"/>
  <c r="L32" i="1"/>
  <c r="K32" i="1"/>
  <c r="J32" i="1"/>
  <c r="V31" i="1"/>
  <c r="U31" i="1"/>
  <c r="T31" i="1"/>
  <c r="S31" i="1"/>
  <c r="Q31" i="1"/>
  <c r="P31" i="1"/>
  <c r="O31" i="1"/>
  <c r="N31" i="1"/>
  <c r="L31" i="1"/>
  <c r="K31" i="1"/>
  <c r="J31" i="1"/>
  <c r="V30" i="1"/>
  <c r="U30" i="1"/>
  <c r="T30" i="1"/>
  <c r="S30" i="1"/>
  <c r="Q30" i="1"/>
  <c r="P30" i="1"/>
  <c r="O30" i="1"/>
  <c r="N30" i="1"/>
  <c r="L30" i="1"/>
  <c r="K30" i="1"/>
  <c r="J30" i="1"/>
  <c r="V29" i="1"/>
  <c r="U29" i="1"/>
  <c r="T29" i="1"/>
  <c r="S29" i="1"/>
  <c r="Q29" i="1"/>
  <c r="P29" i="1"/>
  <c r="O29" i="1"/>
  <c r="N29" i="1"/>
  <c r="L29" i="1"/>
  <c r="K29" i="1"/>
  <c r="J29" i="1"/>
  <c r="V28" i="1"/>
  <c r="U28" i="1"/>
  <c r="T28" i="1"/>
  <c r="S28" i="1"/>
  <c r="Q28" i="1"/>
  <c r="P28" i="1"/>
  <c r="O28" i="1"/>
  <c r="N28" i="1"/>
  <c r="L28" i="1"/>
  <c r="K28" i="1"/>
  <c r="J28" i="1"/>
  <c r="V27" i="1"/>
  <c r="U27" i="1"/>
  <c r="T27" i="1"/>
  <c r="S27" i="1"/>
  <c r="Q27" i="1"/>
  <c r="P27" i="1"/>
  <c r="O27" i="1"/>
  <c r="N27" i="1"/>
  <c r="L27" i="1"/>
  <c r="K27" i="1"/>
  <c r="J27" i="1"/>
  <c r="G25" i="1"/>
  <c r="F25" i="1"/>
  <c r="D25" i="1"/>
  <c r="G24" i="1"/>
  <c r="F24" i="1"/>
  <c r="E24" i="1"/>
  <c r="D24" i="1"/>
  <c r="B24" i="1"/>
  <c r="H23" i="1"/>
  <c r="G23" i="1"/>
  <c r="F23" i="1"/>
  <c r="E23" i="1"/>
  <c r="E25" i="1" s="1"/>
  <c r="D23" i="1"/>
  <c r="C23" i="1"/>
  <c r="B23" i="1"/>
  <c r="B25" i="1" s="1"/>
  <c r="H22" i="1"/>
  <c r="G22" i="1"/>
  <c r="F22" i="1"/>
  <c r="E22" i="1"/>
  <c r="D22" i="1"/>
  <c r="C22" i="1"/>
  <c r="B22" i="1"/>
  <c r="V20" i="1"/>
  <c r="U20" i="1"/>
  <c r="T20" i="1"/>
  <c r="S20" i="1"/>
  <c r="Q20" i="1"/>
  <c r="P20" i="1"/>
  <c r="O20" i="1"/>
  <c r="N20" i="1"/>
  <c r="L20" i="1"/>
  <c r="K20" i="1"/>
  <c r="J20" i="1"/>
  <c r="G19" i="1"/>
  <c r="F19" i="1"/>
  <c r="K19" i="1" s="1"/>
  <c r="E19" i="1"/>
  <c r="J19" i="1" s="1"/>
  <c r="D19" i="1"/>
  <c r="I19" i="1" s="1"/>
  <c r="C19" i="1"/>
  <c r="B19" i="1"/>
  <c r="I18" i="1"/>
  <c r="H17" i="1"/>
  <c r="V16" i="1"/>
  <c r="U16" i="1"/>
  <c r="T16" i="1"/>
  <c r="S16" i="1"/>
  <c r="Q16" i="1"/>
  <c r="P16" i="1"/>
  <c r="O16" i="1"/>
  <c r="N16" i="1"/>
  <c r="H16" i="1"/>
  <c r="C16" i="1"/>
  <c r="S15" i="1"/>
  <c r="N15" i="1"/>
  <c r="I15" i="1"/>
  <c r="D9" i="13" s="1"/>
  <c r="L16" i="1" s="1"/>
  <c r="L15" i="1" s="1"/>
  <c r="Q15" i="1" s="1"/>
  <c r="V15" i="1" s="1"/>
  <c r="V14" i="1"/>
  <c r="U14" i="1"/>
  <c r="T14" i="1"/>
  <c r="S14" i="1"/>
  <c r="Q14" i="1"/>
  <c r="P14" i="1"/>
  <c r="O14" i="1"/>
  <c r="N14" i="1"/>
  <c r="K14" i="1"/>
  <c r="J14" i="1"/>
  <c r="H14" i="1"/>
  <c r="C14" i="1"/>
  <c r="P13" i="1"/>
  <c r="N13" i="1"/>
  <c r="S13" i="1" s="1"/>
  <c r="K13" i="1"/>
  <c r="J13" i="1"/>
  <c r="I13" i="1"/>
  <c r="D5" i="13" s="1"/>
  <c r="L14" i="1" s="1"/>
  <c r="L13" i="1" s="1"/>
  <c r="Q13" i="1" s="1"/>
  <c r="V13" i="1" s="1"/>
  <c r="H12" i="1"/>
  <c r="C12" i="1"/>
  <c r="I11" i="1"/>
  <c r="T10" i="1"/>
  <c r="S10" i="1"/>
  <c r="Q10" i="1"/>
  <c r="P10" i="1"/>
  <c r="O10" i="1"/>
  <c r="H10" i="1"/>
  <c r="C10" i="1"/>
  <c r="I9" i="1"/>
  <c r="H8" i="1"/>
  <c r="C8" i="1"/>
  <c r="I7" i="1"/>
  <c r="S13" i="3" l="1"/>
  <c r="T13" i="3" s="1"/>
  <c r="U13" i="3" s="1"/>
  <c r="V13" i="3" s="1"/>
  <c r="W13" i="3" s="1"/>
  <c r="R13" i="3"/>
  <c r="S15" i="3"/>
  <c r="T15" i="3" s="1"/>
  <c r="U15" i="3" s="1"/>
  <c r="V15" i="3" s="1"/>
  <c r="W15" i="3" s="1"/>
  <c r="R15" i="3"/>
  <c r="W18" i="2"/>
  <c r="D21" i="11"/>
  <c r="P17" i="1" s="1"/>
  <c r="C21" i="11"/>
  <c r="O17" i="1" s="1"/>
  <c r="B21" i="11"/>
  <c r="N17" i="1" s="1"/>
  <c r="E21" i="11"/>
  <c r="Q17" i="1" s="1"/>
  <c r="B20" i="2"/>
  <c r="B33" i="2"/>
  <c r="B34" i="2" s="1"/>
  <c r="B35" i="2" s="1"/>
  <c r="C34" i="2"/>
  <c r="C35" i="2" s="1"/>
  <c r="N10" i="3"/>
  <c r="O10" i="3" s="1"/>
  <c r="P10" i="3" s="1"/>
  <c r="Q10" i="3" s="1"/>
  <c r="M10" i="3"/>
  <c r="F17" i="11"/>
  <c r="E23" i="11"/>
  <c r="V17" i="1" s="1"/>
  <c r="D23" i="11"/>
  <c r="U17" i="1" s="1"/>
  <c r="C23" i="11"/>
  <c r="T17" i="1" s="1"/>
  <c r="B23" i="11"/>
  <c r="S17" i="1" s="1"/>
  <c r="D22" i="2"/>
  <c r="D33" i="2"/>
  <c r="D34" i="2" s="1"/>
  <c r="D35" i="2" s="1"/>
  <c r="M17" i="2"/>
  <c r="B22" i="2"/>
  <c r="E19" i="2"/>
  <c r="E10" i="2"/>
  <c r="C24" i="2"/>
  <c r="C44" i="1"/>
  <c r="F22" i="2"/>
  <c r="F33" i="2"/>
  <c r="F34" i="2" s="1"/>
  <c r="F35" i="2" s="1"/>
  <c r="O13" i="1"/>
  <c r="T13" i="1" s="1"/>
  <c r="W13" i="1" s="1"/>
  <c r="M13" i="1"/>
  <c r="M14" i="1" s="1"/>
  <c r="D34" i="1"/>
  <c r="G22" i="2"/>
  <c r="G20" i="2"/>
  <c r="C25" i="1"/>
  <c r="C24" i="1"/>
  <c r="E34" i="1"/>
  <c r="D16" i="11"/>
  <c r="K12" i="3"/>
  <c r="J16" i="3"/>
  <c r="N22" i="3"/>
  <c r="O22" i="3" s="1"/>
  <c r="P22" i="3" s="1"/>
  <c r="Q22" i="3" s="1"/>
  <c r="M22" i="3"/>
  <c r="S9" i="1"/>
  <c r="U13" i="1"/>
  <c r="D20" i="2"/>
  <c r="E15" i="10"/>
  <c r="E14" i="10"/>
  <c r="F15" i="10"/>
  <c r="F14" i="10"/>
  <c r="N14" i="3"/>
  <c r="O14" i="3" s="1"/>
  <c r="P14" i="3" s="1"/>
  <c r="Q14" i="3" s="1"/>
  <c r="M14" i="3"/>
  <c r="D15" i="10"/>
  <c r="D14" i="10"/>
  <c r="D10" i="2"/>
  <c r="I21" i="1"/>
  <c r="N19" i="1"/>
  <c r="M19" i="1"/>
  <c r="M20" i="1" s="1"/>
  <c r="O19" i="1"/>
  <c r="T19" i="1" s="1"/>
  <c r="N25" i="3"/>
  <c r="O25" i="3" s="1"/>
  <c r="P25" i="3" s="1"/>
  <c r="Q25" i="3" s="1"/>
  <c r="M25" i="3"/>
  <c r="E11" i="8"/>
  <c r="E12" i="8"/>
  <c r="M49" i="1"/>
  <c r="I8" i="4"/>
  <c r="F20" i="2"/>
  <c r="P19" i="1"/>
  <c r="U19" i="1" s="1"/>
  <c r="M15" i="3"/>
  <c r="U32" i="2"/>
  <c r="W32" i="2" s="1"/>
  <c r="U8" i="4"/>
  <c r="I32" i="2"/>
  <c r="M26" i="3"/>
  <c r="N26" i="3"/>
  <c r="O26" i="3" s="1"/>
  <c r="P26" i="3" s="1"/>
  <c r="Q26" i="3" s="1"/>
  <c r="T26" i="4"/>
  <c r="N23" i="3"/>
  <c r="O23" i="3" s="1"/>
  <c r="P23" i="3" s="1"/>
  <c r="Q23" i="3" s="1"/>
  <c r="M23" i="3"/>
  <c r="H24" i="1"/>
  <c r="H25" i="1"/>
  <c r="J32" i="2"/>
  <c r="J8" i="4"/>
  <c r="D11" i="8"/>
  <c r="D12" i="8"/>
  <c r="L19" i="1"/>
  <c r="Q19" i="1" s="1"/>
  <c r="V19" i="1" s="1"/>
  <c r="F11" i="8"/>
  <c r="F12" i="8"/>
  <c r="H19" i="1"/>
  <c r="H20" i="1" s="1"/>
  <c r="H18" i="1"/>
  <c r="C14" i="11"/>
  <c r="J55" i="1"/>
  <c r="I59" i="1"/>
  <c r="I20" i="3"/>
  <c r="W16" i="4"/>
  <c r="K61" i="1"/>
  <c r="M25" i="4"/>
  <c r="D8" i="9"/>
  <c r="W49" i="1"/>
  <c r="S18" i="4"/>
  <c r="W18" i="4" s="1"/>
  <c r="W25" i="4"/>
  <c r="R21" i="4"/>
  <c r="M24" i="4"/>
  <c r="G10" i="2"/>
  <c r="S8" i="4"/>
  <c r="W8" i="4" s="1"/>
  <c r="D15" i="11"/>
  <c r="D14" i="12"/>
  <c r="T8" i="4"/>
  <c r="M30" i="4"/>
  <c r="F14" i="12"/>
  <c r="E14" i="12"/>
  <c r="I26" i="4"/>
  <c r="M26" i="4" s="1"/>
  <c r="H19" i="2"/>
  <c r="N32" i="2"/>
  <c r="R32" i="2" s="1"/>
  <c r="R13" i="4"/>
  <c r="C7" i="9"/>
  <c r="J16" i="1"/>
  <c r="J15" i="1" s="1"/>
  <c r="V10" i="1"/>
  <c r="M18" i="2"/>
  <c r="H29" i="4"/>
  <c r="W20" i="4"/>
  <c r="D7" i="9"/>
  <c r="I18" i="4"/>
  <c r="M18" i="4" s="1"/>
  <c r="C35" i="3"/>
  <c r="N18" i="4"/>
  <c r="R18" i="4" s="1"/>
  <c r="Q26" i="4"/>
  <c r="K16" i="1"/>
  <c r="K15" i="1" s="1"/>
  <c r="P15" i="1" s="1"/>
  <c r="U15" i="1" s="1"/>
  <c r="R16" i="4"/>
  <c r="S26" i="4"/>
  <c r="L8" i="4"/>
  <c r="S22" i="3" l="1"/>
  <c r="T22" i="3" s="1"/>
  <c r="U22" i="3" s="1"/>
  <c r="V22" i="3" s="1"/>
  <c r="W22" i="3" s="1"/>
  <c r="R22" i="3"/>
  <c r="K16" i="3"/>
  <c r="L12" i="3"/>
  <c r="U18" i="1"/>
  <c r="U21" i="1"/>
  <c r="S19" i="1"/>
  <c r="W19" i="1" s="1"/>
  <c r="W20" i="1" s="1"/>
  <c r="R19" i="1"/>
  <c r="R20" i="1" s="1"/>
  <c r="K36" i="2"/>
  <c r="L61" i="1"/>
  <c r="M32" i="2"/>
  <c r="J12" i="1"/>
  <c r="J11" i="1" s="1"/>
  <c r="K12" i="1"/>
  <c r="K11" i="1" s="1"/>
  <c r="L12" i="1"/>
  <c r="L11" i="1" s="1"/>
  <c r="D24" i="2"/>
  <c r="D44" i="1"/>
  <c r="S23" i="3"/>
  <c r="T23" i="3" s="1"/>
  <c r="U23" i="3" s="1"/>
  <c r="V23" i="3" s="1"/>
  <c r="W23" i="3" s="1"/>
  <c r="R23" i="3"/>
  <c r="I22" i="1"/>
  <c r="R26" i="3"/>
  <c r="S26" i="3"/>
  <c r="T26" i="3" s="1"/>
  <c r="U26" i="3" s="1"/>
  <c r="V26" i="3" s="1"/>
  <c r="W26" i="3" s="1"/>
  <c r="S10" i="3"/>
  <c r="T10" i="3" s="1"/>
  <c r="U10" i="3" s="1"/>
  <c r="V10" i="3" s="1"/>
  <c r="W10" i="3" s="1"/>
  <c r="R10" i="3"/>
  <c r="G44" i="1"/>
  <c r="G24" i="2"/>
  <c r="E19" i="11"/>
  <c r="L17" i="1" s="1"/>
  <c r="D19" i="11"/>
  <c r="K17" i="1" s="1"/>
  <c r="C19" i="11"/>
  <c r="J17" i="1" s="1"/>
  <c r="L10" i="1"/>
  <c r="L9" i="1" s="1"/>
  <c r="Q9" i="1" s="1"/>
  <c r="V9" i="1" s="1"/>
  <c r="J10" i="1"/>
  <c r="J9" i="1" s="1"/>
  <c r="K10" i="1"/>
  <c r="K9" i="1" s="1"/>
  <c r="P9" i="1" s="1"/>
  <c r="U9" i="1" s="1"/>
  <c r="S25" i="3"/>
  <c r="T25" i="3" s="1"/>
  <c r="U25" i="3" s="1"/>
  <c r="V25" i="3" s="1"/>
  <c r="W25" i="3" s="1"/>
  <c r="R25" i="3"/>
  <c r="V18" i="1"/>
  <c r="V21" i="1"/>
  <c r="I15" i="2"/>
  <c r="C16" i="11"/>
  <c r="D17" i="11" s="1"/>
  <c r="C13" i="11"/>
  <c r="O12" i="1"/>
  <c r="Q12" i="1"/>
  <c r="P12" i="1"/>
  <c r="N12" i="1"/>
  <c r="N11" i="1" s="1"/>
  <c r="C26" i="2"/>
  <c r="C45" i="1"/>
  <c r="O15" i="1"/>
  <c r="M15" i="1"/>
  <c r="M16" i="1" s="1"/>
  <c r="H22" i="2"/>
  <c r="H20" i="2"/>
  <c r="H33" i="2"/>
  <c r="H34" i="2" s="1"/>
  <c r="I23" i="1"/>
  <c r="S14" i="3"/>
  <c r="T14" i="3" s="1"/>
  <c r="U14" i="3" s="1"/>
  <c r="V14" i="3" s="1"/>
  <c r="W14" i="3" s="1"/>
  <c r="R14" i="3"/>
  <c r="J57" i="1"/>
  <c r="J59" i="1" s="1"/>
  <c r="N21" i="1"/>
  <c r="N18" i="1"/>
  <c r="R17" i="1"/>
  <c r="O21" i="1"/>
  <c r="O18" i="1"/>
  <c r="T8" i="1"/>
  <c r="S8" i="1"/>
  <c r="V8" i="1"/>
  <c r="U8" i="1"/>
  <c r="E22" i="2"/>
  <c r="E20" i="2"/>
  <c r="E33" i="2"/>
  <c r="E34" i="2" s="1"/>
  <c r="E35" i="2" s="1"/>
  <c r="W17" i="1"/>
  <c r="S18" i="1"/>
  <c r="E17" i="11"/>
  <c r="T12" i="1"/>
  <c r="S12" i="1"/>
  <c r="V12" i="1"/>
  <c r="U12" i="1"/>
  <c r="P18" i="1"/>
  <c r="P21" i="1"/>
  <c r="I33" i="1"/>
  <c r="J8" i="1"/>
  <c r="J7" i="1" s="1"/>
  <c r="L8" i="1"/>
  <c r="L7" i="1" s="1"/>
  <c r="K8" i="1"/>
  <c r="K7" i="1" s="1"/>
  <c r="M8" i="4"/>
  <c r="B44" i="1"/>
  <c r="B24" i="2"/>
  <c r="T18" i="1"/>
  <c r="T21" i="1"/>
  <c r="T22" i="1" s="1"/>
  <c r="Q21" i="1"/>
  <c r="Q18" i="1"/>
  <c r="R13" i="1"/>
  <c r="R14" i="1" s="1"/>
  <c r="F24" i="2"/>
  <c r="F44" i="1"/>
  <c r="Q8" i="1"/>
  <c r="P8" i="1"/>
  <c r="N8" i="1"/>
  <c r="N7" i="1" s="1"/>
  <c r="O8" i="1"/>
  <c r="B35" i="3"/>
  <c r="J15" i="2" l="1"/>
  <c r="R18" i="1"/>
  <c r="Q7" i="1"/>
  <c r="M11" i="1"/>
  <c r="M12" i="1" s="1"/>
  <c r="O11" i="1"/>
  <c r="T11" i="1" s="1"/>
  <c r="E24" i="2"/>
  <c r="E44" i="1"/>
  <c r="O7" i="1"/>
  <c r="J33" i="1"/>
  <c r="J34" i="1" s="1"/>
  <c r="J23" i="1"/>
  <c r="M7" i="1"/>
  <c r="M8" i="1" s="1"/>
  <c r="O9" i="1"/>
  <c r="M9" i="1"/>
  <c r="M10" i="1" s="1"/>
  <c r="B26" i="2"/>
  <c r="B45" i="1"/>
  <c r="Q11" i="1"/>
  <c r="V11" i="1" s="1"/>
  <c r="P22" i="1"/>
  <c r="H35" i="2"/>
  <c r="H35" i="3"/>
  <c r="H68" i="1"/>
  <c r="M17" i="1"/>
  <c r="M18" i="1" s="1"/>
  <c r="J21" i="1"/>
  <c r="J18" i="1"/>
  <c r="S11" i="1"/>
  <c r="P11" i="1"/>
  <c r="U11" i="1" s="1"/>
  <c r="K21" i="1"/>
  <c r="K22" i="1" s="1"/>
  <c r="K18" i="1"/>
  <c r="L16" i="3"/>
  <c r="N12" i="3"/>
  <c r="M12" i="3"/>
  <c r="M16" i="3" s="1"/>
  <c r="O22" i="1"/>
  <c r="P7" i="1"/>
  <c r="K33" i="1"/>
  <c r="K23" i="1"/>
  <c r="R21" i="1"/>
  <c r="N22" i="1"/>
  <c r="I34" i="1"/>
  <c r="L36" i="2"/>
  <c r="N61" i="1"/>
  <c r="M61" i="1"/>
  <c r="I24" i="1"/>
  <c r="I25" i="1"/>
  <c r="I6" i="2"/>
  <c r="N23" i="1"/>
  <c r="N33" i="1"/>
  <c r="S7" i="1"/>
  <c r="L21" i="1"/>
  <c r="L22" i="1" s="1"/>
  <c r="L18" i="1"/>
  <c r="F26" i="2"/>
  <c r="F45" i="1"/>
  <c r="V22" i="1"/>
  <c r="D26" i="2"/>
  <c r="D45" i="1"/>
  <c r="T15" i="1"/>
  <c r="W15" i="1" s="1"/>
  <c r="R15" i="1"/>
  <c r="R16" i="1" s="1"/>
  <c r="G26" i="2"/>
  <c r="G45" i="1"/>
  <c r="Q22" i="1"/>
  <c r="S21" i="1"/>
  <c r="K55" i="1"/>
  <c r="J20" i="3"/>
  <c r="U22" i="1"/>
  <c r="H44" i="1"/>
  <c r="H24" i="2"/>
  <c r="W18" i="1"/>
  <c r="C63" i="1"/>
  <c r="C27" i="2"/>
  <c r="C29" i="2"/>
  <c r="W14" i="1"/>
  <c r="H45" i="1" l="1"/>
  <c r="H26" i="2"/>
  <c r="M36" i="2"/>
  <c r="M65" i="1"/>
  <c r="G29" i="2"/>
  <c r="G27" i="2"/>
  <c r="O23" i="1"/>
  <c r="T7" i="1"/>
  <c r="O33" i="1"/>
  <c r="O34" i="1" s="1"/>
  <c r="T9" i="1"/>
  <c r="W9" i="1" s="1"/>
  <c r="W10" i="1" s="1"/>
  <c r="R9" i="1"/>
  <c r="R10" i="1" s="1"/>
  <c r="K34" i="1"/>
  <c r="E26" i="2"/>
  <c r="E45" i="1"/>
  <c r="S22" i="1"/>
  <c r="W21" i="1"/>
  <c r="W22" i="1" s="1"/>
  <c r="J6" i="2"/>
  <c r="J24" i="1"/>
  <c r="P23" i="1"/>
  <c r="U7" i="1"/>
  <c r="P33" i="1"/>
  <c r="P34" i="1" s="1"/>
  <c r="N34" i="1"/>
  <c r="N36" i="2"/>
  <c r="O61" i="1"/>
  <c r="K57" i="1"/>
  <c r="K59" i="1" s="1"/>
  <c r="O12" i="3"/>
  <c r="N16" i="3"/>
  <c r="L33" i="1"/>
  <c r="S33" i="1"/>
  <c r="S23" i="1"/>
  <c r="Q23" i="1"/>
  <c r="V7" i="1"/>
  <c r="Q33" i="1"/>
  <c r="Q34" i="1" s="1"/>
  <c r="I12" i="2"/>
  <c r="I8" i="2"/>
  <c r="I8" i="3"/>
  <c r="I10" i="4" s="1"/>
  <c r="I7" i="2"/>
  <c r="I11" i="2"/>
  <c r="I14" i="2"/>
  <c r="I13" i="2"/>
  <c r="B27" i="2"/>
  <c r="B29" i="2"/>
  <c r="B63" i="1"/>
  <c r="K24" i="1"/>
  <c r="K6" i="2"/>
  <c r="W16" i="1"/>
  <c r="D27" i="2"/>
  <c r="D29" i="2"/>
  <c r="F27" i="2"/>
  <c r="F29" i="2"/>
  <c r="L23" i="1"/>
  <c r="R11" i="1"/>
  <c r="R12" i="1" s="1"/>
  <c r="N6" i="2"/>
  <c r="N24" i="1"/>
  <c r="W11" i="1"/>
  <c r="W12" i="1" s="1"/>
  <c r="R7" i="1"/>
  <c r="R8" i="1" s="1"/>
  <c r="C28" i="2"/>
  <c r="J22" i="1"/>
  <c r="M21" i="1"/>
  <c r="M22" i="1" s="1"/>
  <c r="K15" i="2" l="1"/>
  <c r="U33" i="1"/>
  <c r="U23" i="1"/>
  <c r="I21" i="3"/>
  <c r="I9" i="3"/>
  <c r="I11" i="4" s="1"/>
  <c r="V23" i="1"/>
  <c r="V33" i="1"/>
  <c r="V34" i="1" s="1"/>
  <c r="T33" i="1"/>
  <c r="T23" i="1"/>
  <c r="P6" i="2"/>
  <c r="P24" i="1"/>
  <c r="I9" i="2"/>
  <c r="O6" i="2"/>
  <c r="O24" i="1"/>
  <c r="J8" i="2"/>
  <c r="J11" i="2"/>
  <c r="J8" i="3"/>
  <c r="J10" i="4" s="1"/>
  <c r="J12" i="2"/>
  <c r="J7" i="2"/>
  <c r="J14" i="2"/>
  <c r="J13" i="2"/>
  <c r="E27" i="2"/>
  <c r="E29" i="2"/>
  <c r="L6" i="2"/>
  <c r="L24" i="1"/>
  <c r="M23" i="1"/>
  <c r="M24" i="1" s="1"/>
  <c r="L34" i="1"/>
  <c r="M33" i="1"/>
  <c r="M34" i="1" s="1"/>
  <c r="O16" i="3"/>
  <c r="P12" i="3"/>
  <c r="L55" i="1"/>
  <c r="K20" i="3"/>
  <c r="N14" i="2"/>
  <c r="N9" i="2"/>
  <c r="N8" i="3"/>
  <c r="N11" i="2"/>
  <c r="N12" i="2"/>
  <c r="N7" i="2"/>
  <c r="N8" i="2"/>
  <c r="N13" i="2"/>
  <c r="R23" i="1"/>
  <c r="K8" i="2"/>
  <c r="K8" i="3"/>
  <c r="K10" i="4" s="1"/>
  <c r="K9" i="2"/>
  <c r="K14" i="2"/>
  <c r="K7" i="2"/>
  <c r="K13" i="2"/>
  <c r="K12" i="2"/>
  <c r="K11" i="2"/>
  <c r="O36" i="2"/>
  <c r="P61" i="1"/>
  <c r="H28" i="2"/>
  <c r="H29" i="2"/>
  <c r="H69" i="1"/>
  <c r="H63" i="1"/>
  <c r="H27" i="2"/>
  <c r="R22" i="1"/>
  <c r="Q6" i="2"/>
  <c r="Q24" i="1"/>
  <c r="W23" i="1"/>
  <c r="W24" i="1" s="1"/>
  <c r="S24" i="1"/>
  <c r="S6" i="2"/>
  <c r="W7" i="1"/>
  <c r="W8" i="1" s="1"/>
  <c r="S34" i="1"/>
  <c r="R33" i="1"/>
  <c r="I19" i="2" l="1"/>
  <c r="I10" i="2"/>
  <c r="V24" i="1"/>
  <c r="V6" i="2"/>
  <c r="I12" i="4"/>
  <c r="I24" i="3"/>
  <c r="I27" i="3" s="1"/>
  <c r="J21" i="3"/>
  <c r="J9" i="3"/>
  <c r="J11" i="4" s="1"/>
  <c r="Q13" i="2"/>
  <c r="Q8" i="3"/>
  <c r="Q7" i="2"/>
  <c r="Q14" i="2"/>
  <c r="Q12" i="2"/>
  <c r="Q8" i="2"/>
  <c r="Q11" i="2"/>
  <c r="R14" i="2"/>
  <c r="P13" i="2"/>
  <c r="P9" i="2"/>
  <c r="P12" i="2"/>
  <c r="R12" i="2" s="1"/>
  <c r="P7" i="2"/>
  <c r="P8" i="3"/>
  <c r="P14" i="2"/>
  <c r="P8" i="2"/>
  <c r="P11" i="2"/>
  <c r="U24" i="1"/>
  <c r="U6" i="2"/>
  <c r="P16" i="3"/>
  <c r="Q12" i="3"/>
  <c r="U34" i="1"/>
  <c r="R6" i="2"/>
  <c r="O14" i="2"/>
  <c r="O12" i="2"/>
  <c r="O8" i="3"/>
  <c r="O10" i="4" s="1"/>
  <c r="O7" i="2"/>
  <c r="O8" i="2"/>
  <c r="O9" i="2" s="1"/>
  <c r="O11" i="2"/>
  <c r="R11" i="2" s="1"/>
  <c r="O13" i="2"/>
  <c r="L57" i="1"/>
  <c r="L59" i="1" s="1"/>
  <c r="T34" i="1"/>
  <c r="L8" i="3"/>
  <c r="L9" i="2"/>
  <c r="L7" i="2"/>
  <c r="L14" i="2"/>
  <c r="M14" i="2" s="1"/>
  <c r="L13" i="2"/>
  <c r="M13" i="2" s="1"/>
  <c r="L8" i="2"/>
  <c r="L11" i="2"/>
  <c r="M11" i="2" s="1"/>
  <c r="L12" i="2"/>
  <c r="M12" i="2" s="1"/>
  <c r="M8" i="2"/>
  <c r="K19" i="2"/>
  <c r="K10" i="2"/>
  <c r="K21" i="3"/>
  <c r="K12" i="4" s="1"/>
  <c r="K9" i="3"/>
  <c r="K11" i="4" s="1"/>
  <c r="R13" i="2"/>
  <c r="N9" i="3"/>
  <c r="N21" i="3"/>
  <c r="P36" i="2"/>
  <c r="Q61" i="1"/>
  <c r="T24" i="1"/>
  <c r="T6" i="2"/>
  <c r="R34" i="1"/>
  <c r="W33" i="1"/>
  <c r="W34" i="1" s="1"/>
  <c r="W6" i="2"/>
  <c r="W7" i="2" s="1"/>
  <c r="S12" i="2"/>
  <c r="S14" i="2"/>
  <c r="S7" i="2"/>
  <c r="S11" i="2"/>
  <c r="S13" i="2"/>
  <c r="S8" i="3"/>
  <c r="S8" i="2"/>
  <c r="N10" i="2"/>
  <c r="K24" i="3"/>
  <c r="K27" i="3" s="1"/>
  <c r="R24" i="1"/>
  <c r="J9" i="2"/>
  <c r="M6" i="2"/>
  <c r="M7" i="2" s="1"/>
  <c r="L15" i="2" l="1"/>
  <c r="M15" i="2" s="1"/>
  <c r="M59" i="1"/>
  <c r="O10" i="2"/>
  <c r="J19" i="2"/>
  <c r="J10" i="2"/>
  <c r="R8" i="2"/>
  <c r="P10" i="2"/>
  <c r="K22" i="2"/>
  <c r="K20" i="2"/>
  <c r="K33" i="2"/>
  <c r="K34" i="2" s="1"/>
  <c r="K35" i="2" s="1"/>
  <c r="M8" i="3"/>
  <c r="L10" i="4"/>
  <c r="M10" i="4" s="1"/>
  <c r="S61" i="1"/>
  <c r="Q36" i="2"/>
  <c r="R61" i="1"/>
  <c r="N12" i="4"/>
  <c r="W8" i="2"/>
  <c r="S21" i="3"/>
  <c r="S12" i="4" s="1"/>
  <c r="S9" i="3"/>
  <c r="I22" i="2"/>
  <c r="I20" i="2"/>
  <c r="I33" i="2"/>
  <c r="Q21" i="3"/>
  <c r="Q9" i="3"/>
  <c r="O9" i="3"/>
  <c r="O11" i="4" s="1"/>
  <c r="O21" i="3"/>
  <c r="O12" i="4" s="1"/>
  <c r="R7" i="2"/>
  <c r="J12" i="4"/>
  <c r="J24" i="3"/>
  <c r="J27" i="3" s="1"/>
  <c r="Q16" i="3"/>
  <c r="S12" i="3"/>
  <c r="R12" i="3"/>
  <c r="R16" i="3" s="1"/>
  <c r="U8" i="2"/>
  <c r="U12" i="2"/>
  <c r="U7" i="2"/>
  <c r="U11" i="2"/>
  <c r="U13" i="2"/>
  <c r="W13" i="2" s="1"/>
  <c r="U8" i="3"/>
  <c r="U10" i="4" s="1"/>
  <c r="U9" i="2"/>
  <c r="U14" i="2"/>
  <c r="P9" i="3"/>
  <c r="P11" i="4" s="1"/>
  <c r="P21" i="3"/>
  <c r="M9" i="2"/>
  <c r="M10" i="2" s="1"/>
  <c r="L19" i="2"/>
  <c r="L10" i="2"/>
  <c r="T12" i="2"/>
  <c r="T7" i="2"/>
  <c r="T11" i="2"/>
  <c r="T13" i="2"/>
  <c r="T8" i="2"/>
  <c r="T8" i="3"/>
  <c r="T10" i="4" s="1"/>
  <c r="T14" i="2"/>
  <c r="W14" i="2" s="1"/>
  <c r="T9" i="2"/>
  <c r="Q9" i="2"/>
  <c r="R9" i="2" s="1"/>
  <c r="R10" i="2" s="1"/>
  <c r="N10" i="4"/>
  <c r="S9" i="2"/>
  <c r="S10" i="4"/>
  <c r="L21" i="3"/>
  <c r="L9" i="3"/>
  <c r="W12" i="2"/>
  <c r="Q10" i="4"/>
  <c r="R8" i="3"/>
  <c r="W11" i="2"/>
  <c r="P10" i="4"/>
  <c r="M57" i="1"/>
  <c r="L20" i="3"/>
  <c r="N55" i="1"/>
  <c r="V11" i="2"/>
  <c r="V7" i="2"/>
  <c r="V13" i="2"/>
  <c r="V8" i="2"/>
  <c r="V9" i="2"/>
  <c r="V8" i="3"/>
  <c r="V12" i="2"/>
  <c r="V14" i="2"/>
  <c r="T61" i="1" l="1"/>
  <c r="S36" i="2"/>
  <c r="R36" i="2"/>
  <c r="R65" i="1"/>
  <c r="T10" i="2"/>
  <c r="R21" i="3"/>
  <c r="Q12" i="4"/>
  <c r="L12" i="4"/>
  <c r="M12" i="4" s="1"/>
  <c r="M21" i="3"/>
  <c r="U9" i="3"/>
  <c r="U21" i="3"/>
  <c r="U12" i="4" s="1"/>
  <c r="V10" i="2"/>
  <c r="V9" i="3"/>
  <c r="V21" i="3"/>
  <c r="T9" i="3"/>
  <c r="T11" i="4" s="1"/>
  <c r="T21" i="3"/>
  <c r="T12" i="4" s="1"/>
  <c r="L11" i="4"/>
  <c r="M11" i="4" s="1"/>
  <c r="M9" i="3"/>
  <c r="R10" i="4"/>
  <c r="K23" i="2"/>
  <c r="K24" i="2"/>
  <c r="W9" i="2"/>
  <c r="W10" i="2" s="1"/>
  <c r="S10" i="2"/>
  <c r="Q10" i="2"/>
  <c r="Q11" i="4"/>
  <c r="R9" i="3"/>
  <c r="J22" i="2"/>
  <c r="J20" i="2"/>
  <c r="J33" i="2"/>
  <c r="J34" i="2" s="1"/>
  <c r="J35" i="2" s="1"/>
  <c r="L33" i="2"/>
  <c r="L34" i="2" s="1"/>
  <c r="L35" i="2" s="1"/>
  <c r="L22" i="2"/>
  <c r="L20" i="2"/>
  <c r="M19" i="2"/>
  <c r="M20" i="2" s="1"/>
  <c r="U10" i="2"/>
  <c r="W8" i="3"/>
  <c r="V10" i="4"/>
  <c r="W10" i="4" s="1"/>
  <c r="N11" i="4"/>
  <c r="R11" i="4" s="1"/>
  <c r="N57" i="1"/>
  <c r="R55" i="1"/>
  <c r="L24" i="3"/>
  <c r="L27" i="3" s="1"/>
  <c r="M20" i="3"/>
  <c r="I23" i="2"/>
  <c r="T12" i="3"/>
  <c r="S16" i="3"/>
  <c r="I34" i="2"/>
  <c r="P12" i="4"/>
  <c r="R12" i="4" s="1"/>
  <c r="S11" i="4"/>
  <c r="J23" i="2" l="1"/>
  <c r="J24" i="2"/>
  <c r="N20" i="3"/>
  <c r="O55" i="1"/>
  <c r="I35" i="2"/>
  <c r="M34" i="2"/>
  <c r="M35" i="2" s="1"/>
  <c r="K25" i="2"/>
  <c r="K7" i="4"/>
  <c r="K14" i="4" s="1"/>
  <c r="K26" i="2"/>
  <c r="V12" i="4"/>
  <c r="W12" i="4" s="1"/>
  <c r="W21" i="3"/>
  <c r="U11" i="4"/>
  <c r="W11" i="4" s="1"/>
  <c r="M22" i="2"/>
  <c r="V11" i="4"/>
  <c r="W9" i="3"/>
  <c r="L23" i="2"/>
  <c r="L24" i="2" s="1"/>
  <c r="M33" i="2"/>
  <c r="U12" i="3"/>
  <c r="T16" i="3"/>
  <c r="I24" i="2"/>
  <c r="M24" i="3"/>
  <c r="M27" i="3" s="1"/>
  <c r="N59" i="1"/>
  <c r="T36" i="2"/>
  <c r="U61" i="1"/>
  <c r="L25" i="2" l="1"/>
  <c r="L7" i="4"/>
  <c r="L14" i="4" s="1"/>
  <c r="L26" i="2"/>
  <c r="V12" i="3"/>
  <c r="U16" i="3"/>
  <c r="K29" i="2"/>
  <c r="K27" i="2"/>
  <c r="K28" i="2"/>
  <c r="M23" i="2"/>
  <c r="N24" i="3"/>
  <c r="N27" i="3" s="1"/>
  <c r="K29" i="4"/>
  <c r="K33" i="4"/>
  <c r="J25" i="2"/>
  <c r="J7" i="4"/>
  <c r="J14" i="4" s="1"/>
  <c r="J26" i="2"/>
  <c r="V61" i="1"/>
  <c r="U36" i="2"/>
  <c r="N15" i="2"/>
  <c r="O57" i="1"/>
  <c r="O59" i="1"/>
  <c r="O15" i="2" s="1"/>
  <c r="O19" i="2" s="1"/>
  <c r="I7" i="4"/>
  <c r="I25" i="2"/>
  <c r="M24" i="2"/>
  <c r="J29" i="2" l="1"/>
  <c r="J27" i="2"/>
  <c r="J28" i="2"/>
  <c r="O33" i="2"/>
  <c r="O34" i="2" s="1"/>
  <c r="O35" i="2" s="1"/>
  <c r="O20" i="2"/>
  <c r="O22" i="2"/>
  <c r="W12" i="3"/>
  <c r="W16" i="3" s="1"/>
  <c r="V16" i="3"/>
  <c r="O20" i="3"/>
  <c r="P55" i="1"/>
  <c r="W61" i="1"/>
  <c r="V36" i="2"/>
  <c r="M25" i="2"/>
  <c r="I28" i="3"/>
  <c r="L33" i="4"/>
  <c r="L29" i="4"/>
  <c r="M7" i="4"/>
  <c r="I14" i="4"/>
  <c r="N19" i="2"/>
  <c r="J29" i="4"/>
  <c r="J33" i="4"/>
  <c r="L29" i="2"/>
  <c r="L28" i="2"/>
  <c r="L27" i="2"/>
  <c r="I26" i="2"/>
  <c r="I29" i="4" l="1"/>
  <c r="I33" i="4"/>
  <c r="M33" i="4" s="1"/>
  <c r="M14" i="4"/>
  <c r="N33" i="2"/>
  <c r="N22" i="2"/>
  <c r="N20" i="2"/>
  <c r="O24" i="3"/>
  <c r="O27" i="3" s="1"/>
  <c r="J28" i="3"/>
  <c r="I29" i="2"/>
  <c r="I28" i="2"/>
  <c r="M26" i="2"/>
  <c r="I29" i="3"/>
  <c r="J29" i="3" s="1"/>
  <c r="K29" i="3" s="1"/>
  <c r="L29" i="3" s="1"/>
  <c r="I39" i="2"/>
  <c r="I27" i="2"/>
  <c r="P57" i="1"/>
  <c r="P59" i="1"/>
  <c r="W36" i="2"/>
  <c r="W65" i="1"/>
  <c r="O23" i="2"/>
  <c r="O24" i="2" s="1"/>
  <c r="O7" i="4" l="1"/>
  <c r="O14" i="4" s="1"/>
  <c r="O25" i="2"/>
  <c r="O26" i="2"/>
  <c r="M29" i="2"/>
  <c r="M62" i="1"/>
  <c r="P23" i="4" s="1"/>
  <c r="M28" i="2"/>
  <c r="M27" i="2"/>
  <c r="F11" i="7"/>
  <c r="M69" i="1"/>
  <c r="D13" i="5"/>
  <c r="C13" i="5"/>
  <c r="E13" i="5"/>
  <c r="Q55" i="1"/>
  <c r="P20" i="3"/>
  <c r="I30" i="3"/>
  <c r="I31" i="3" s="1"/>
  <c r="N23" i="2"/>
  <c r="N24" i="2"/>
  <c r="P15" i="2"/>
  <c r="M29" i="3"/>
  <c r="K28" i="3"/>
  <c r="J30" i="3"/>
  <c r="J31" i="3" s="1"/>
  <c r="N34" i="2"/>
  <c r="M29" i="4"/>
  <c r="I31" i="4"/>
  <c r="P24" i="3" l="1"/>
  <c r="P27" i="3" s="1"/>
  <c r="N7" i="4"/>
  <c r="N25" i="2"/>
  <c r="R23" i="4"/>
  <c r="P26" i="4"/>
  <c r="R26" i="4" s="1"/>
  <c r="N35" i="2"/>
  <c r="Q57" i="1"/>
  <c r="J30" i="4"/>
  <c r="J31" i="4" s="1"/>
  <c r="I7" i="3"/>
  <c r="O29" i="2"/>
  <c r="O27" i="2"/>
  <c r="O28" i="2"/>
  <c r="P19" i="2"/>
  <c r="L28" i="3"/>
  <c r="K30" i="3"/>
  <c r="K31" i="3" s="1"/>
  <c r="O33" i="4"/>
  <c r="O29" i="4"/>
  <c r="K30" i="4" l="1"/>
  <c r="K31" i="4" s="1"/>
  <c r="J7" i="3"/>
  <c r="P22" i="2"/>
  <c r="P20" i="2"/>
  <c r="P33" i="2"/>
  <c r="R57" i="1"/>
  <c r="S55" i="1"/>
  <c r="Q20" i="3"/>
  <c r="N28" i="3"/>
  <c r="M28" i="3"/>
  <c r="M30" i="3" s="1"/>
  <c r="M31" i="3" s="1"/>
  <c r="L30" i="3"/>
  <c r="L31" i="3" s="1"/>
  <c r="I11" i="3"/>
  <c r="I17" i="3" s="1"/>
  <c r="I32" i="3" s="1"/>
  <c r="I34" i="3"/>
  <c r="N26" i="2"/>
  <c r="Q59" i="1"/>
  <c r="N14" i="4"/>
  <c r="N33" i="4" l="1"/>
  <c r="N29" i="4"/>
  <c r="S57" i="1"/>
  <c r="S59" i="1"/>
  <c r="W55" i="1"/>
  <c r="Q15" i="2"/>
  <c r="R59" i="1"/>
  <c r="N29" i="2"/>
  <c r="N28" i="2"/>
  <c r="N27" i="2"/>
  <c r="N29" i="3"/>
  <c r="O29" i="3" s="1"/>
  <c r="O28" i="3"/>
  <c r="Q24" i="3"/>
  <c r="Q27" i="3" s="1"/>
  <c r="R20" i="3"/>
  <c r="P34" i="2"/>
  <c r="P23" i="2"/>
  <c r="J11" i="3"/>
  <c r="J17" i="3" s="1"/>
  <c r="J32" i="3" s="1"/>
  <c r="J34" i="3"/>
  <c r="L30" i="4"/>
  <c r="L31" i="4" s="1"/>
  <c r="K7" i="3"/>
  <c r="N30" i="3" l="1"/>
  <c r="N31" i="3" s="1"/>
  <c r="P35" i="2"/>
  <c r="R24" i="3"/>
  <c r="R27" i="3" s="1"/>
  <c r="Q19" i="2"/>
  <c r="R15" i="2"/>
  <c r="S20" i="3"/>
  <c r="T55" i="1"/>
  <c r="P24" i="2"/>
  <c r="O30" i="3"/>
  <c r="O31" i="3" s="1"/>
  <c r="S15" i="2"/>
  <c r="K11" i="3"/>
  <c r="K17" i="3" s="1"/>
  <c r="K32" i="3" s="1"/>
  <c r="K34" i="3"/>
  <c r="N30" i="4"/>
  <c r="L7" i="3"/>
  <c r="M31" i="4"/>
  <c r="N31" i="4" l="1"/>
  <c r="R30" i="4"/>
  <c r="T57" i="1"/>
  <c r="T59" i="1"/>
  <c r="S19" i="2"/>
  <c r="L11" i="3"/>
  <c r="L17" i="3" s="1"/>
  <c r="L32" i="3" s="1"/>
  <c r="M7" i="3"/>
  <c r="L34" i="3"/>
  <c r="S24" i="3"/>
  <c r="S27" i="3" s="1"/>
  <c r="Q20" i="2"/>
  <c r="Q33" i="2"/>
  <c r="Q22" i="2"/>
  <c r="R19" i="2"/>
  <c r="R20" i="2" s="1"/>
  <c r="P25" i="2"/>
  <c r="P26" i="2" s="1"/>
  <c r="P7" i="4"/>
  <c r="P27" i="2" l="1"/>
  <c r="P29" i="2"/>
  <c r="P28" i="2"/>
  <c r="P29" i="3"/>
  <c r="Q34" i="2"/>
  <c r="R33" i="2"/>
  <c r="P28" i="3"/>
  <c r="M11" i="3"/>
  <c r="M17" i="3" s="1"/>
  <c r="M32" i="3" s="1"/>
  <c r="M66" i="1"/>
  <c r="M67" i="1" s="1"/>
  <c r="M68" i="1" s="1"/>
  <c r="M34" i="3"/>
  <c r="M35" i="3" s="1"/>
  <c r="S20" i="2"/>
  <c r="S22" i="2"/>
  <c r="S33" i="2"/>
  <c r="P14" i="4"/>
  <c r="Q23" i="2"/>
  <c r="R23" i="2" s="1"/>
  <c r="R22" i="2"/>
  <c r="T15" i="2"/>
  <c r="T20" i="3"/>
  <c r="U55" i="1"/>
  <c r="N7" i="3"/>
  <c r="O30" i="4"/>
  <c r="O31" i="4" s="1"/>
  <c r="P33" i="4" l="1"/>
  <c r="P29" i="4"/>
  <c r="S23" i="2"/>
  <c r="P30" i="4"/>
  <c r="P31" i="4" s="1"/>
  <c r="O7" i="3"/>
  <c r="Q24" i="2"/>
  <c r="S34" i="2"/>
  <c r="P30" i="3"/>
  <c r="P31" i="3" s="1"/>
  <c r="U57" i="1"/>
  <c r="U59" i="1" s="1"/>
  <c r="T19" i="2"/>
  <c r="Q35" i="2"/>
  <c r="R34" i="2"/>
  <c r="R35" i="2" s="1"/>
  <c r="N11" i="3"/>
  <c r="N17" i="3" s="1"/>
  <c r="N32" i="3" s="1"/>
  <c r="N34" i="3"/>
  <c r="T24" i="3"/>
  <c r="T27" i="3" s="1"/>
  <c r="U15" i="2" l="1"/>
  <c r="O11" i="3"/>
  <c r="O17" i="3" s="1"/>
  <c r="O32" i="3" s="1"/>
  <c r="O34" i="3"/>
  <c r="U20" i="3"/>
  <c r="V55" i="1"/>
  <c r="S35" i="2"/>
  <c r="Q25" i="2"/>
  <c r="Q7" i="4"/>
  <c r="Q26" i="2"/>
  <c r="R24" i="2"/>
  <c r="T20" i="2"/>
  <c r="T33" i="2"/>
  <c r="T22" i="2"/>
  <c r="Q30" i="4"/>
  <c r="P7" i="3"/>
  <c r="S24" i="2"/>
  <c r="T34" i="2" l="1"/>
  <c r="Q14" i="4"/>
  <c r="R7" i="4"/>
  <c r="S7" i="4"/>
  <c r="S25" i="2"/>
  <c r="P11" i="3"/>
  <c r="P17" i="3" s="1"/>
  <c r="P32" i="3" s="1"/>
  <c r="P34" i="3"/>
  <c r="T23" i="2"/>
  <c r="T24" i="2"/>
  <c r="Q27" i="2"/>
  <c r="Q29" i="2"/>
  <c r="Q28" i="2"/>
  <c r="R26" i="2"/>
  <c r="Q29" i="3"/>
  <c r="R25" i="2"/>
  <c r="Q28" i="3"/>
  <c r="V59" i="1"/>
  <c r="V57" i="1"/>
  <c r="U24" i="3"/>
  <c r="U27" i="3" s="1"/>
  <c r="U19" i="2"/>
  <c r="V20" i="3" l="1"/>
  <c r="W57" i="1"/>
  <c r="V15" i="2"/>
  <c r="W59" i="1"/>
  <c r="Q30" i="3"/>
  <c r="Q31" i="3" s="1"/>
  <c r="S28" i="3"/>
  <c r="R28" i="3"/>
  <c r="R28" i="2"/>
  <c r="R62" i="1"/>
  <c r="U23" i="4" s="1"/>
  <c r="R27" i="2"/>
  <c r="D10" i="5"/>
  <c r="R29" i="2"/>
  <c r="G11" i="7"/>
  <c r="R69" i="1"/>
  <c r="R29" i="3"/>
  <c r="T26" i="2"/>
  <c r="T25" i="2"/>
  <c r="T7" i="4"/>
  <c r="T14" i="4" s="1"/>
  <c r="S26" i="2"/>
  <c r="S14" i="4"/>
  <c r="Q33" i="4"/>
  <c r="R33" i="4" s="1"/>
  <c r="Q29" i="4"/>
  <c r="R14" i="4"/>
  <c r="U20" i="2"/>
  <c r="U22" i="2"/>
  <c r="U33" i="2"/>
  <c r="T35" i="2"/>
  <c r="V19" i="2" l="1"/>
  <c r="W15" i="2"/>
  <c r="S27" i="2"/>
  <c r="S29" i="2"/>
  <c r="S28" i="2"/>
  <c r="U34" i="2"/>
  <c r="T29" i="2"/>
  <c r="T27" i="2"/>
  <c r="T28" i="2"/>
  <c r="W23" i="4"/>
  <c r="U26" i="4"/>
  <c r="W26" i="4" s="1"/>
  <c r="R30" i="3"/>
  <c r="R31" i="3" s="1"/>
  <c r="R29" i="4"/>
  <c r="Q31" i="4"/>
  <c r="W20" i="3"/>
  <c r="V24" i="3"/>
  <c r="V27" i="3" s="1"/>
  <c r="T33" i="4"/>
  <c r="T29" i="4"/>
  <c r="S29" i="3"/>
  <c r="T29" i="3" s="1"/>
  <c r="D12" i="5"/>
  <c r="E10" i="5"/>
  <c r="E12" i="5" s="1"/>
  <c r="C10" i="5"/>
  <c r="C12" i="5" s="1"/>
  <c r="T28" i="3"/>
  <c r="U23" i="2"/>
  <c r="S29" i="4"/>
  <c r="S33" i="4"/>
  <c r="W24" i="3" l="1"/>
  <c r="W27" i="3" s="1"/>
  <c r="S30" i="4"/>
  <c r="Q7" i="3"/>
  <c r="R31" i="4"/>
  <c r="U35" i="2"/>
  <c r="U24" i="2"/>
  <c r="S30" i="3"/>
  <c r="S31" i="3" s="1"/>
  <c r="T30" i="3"/>
  <c r="T31" i="3" s="1"/>
  <c r="C15" i="5"/>
  <c r="E15" i="5"/>
  <c r="E22" i="5" s="1"/>
  <c r="V33" i="2"/>
  <c r="V20" i="2"/>
  <c r="V22" i="2"/>
  <c r="W19" i="2"/>
  <c r="W20" i="2" s="1"/>
  <c r="D15" i="5"/>
  <c r="D22" i="5" s="1"/>
  <c r="C22" i="5" l="1"/>
  <c r="F17" i="5"/>
  <c r="V34" i="2"/>
  <c r="W33" i="2"/>
  <c r="U7" i="4"/>
  <c r="U25" i="2"/>
  <c r="V23" i="2"/>
  <c r="W23" i="2" s="1"/>
  <c r="V24" i="2"/>
  <c r="W22" i="2"/>
  <c r="R7" i="3"/>
  <c r="Q11" i="3"/>
  <c r="Q17" i="3" s="1"/>
  <c r="Q32" i="3" s="1"/>
  <c r="Q34" i="3"/>
  <c r="W30" i="4"/>
  <c r="S31" i="4"/>
  <c r="T30" i="4" l="1"/>
  <c r="T31" i="4" s="1"/>
  <c r="S7" i="3"/>
  <c r="U28" i="3"/>
  <c r="V25" i="2"/>
  <c r="W25" i="2" s="1"/>
  <c r="V7" i="4"/>
  <c r="V14" i="4" s="1"/>
  <c r="R11" i="3"/>
  <c r="R17" i="3" s="1"/>
  <c r="R32" i="3" s="1"/>
  <c r="R66" i="1"/>
  <c r="R67" i="1" s="1"/>
  <c r="R68" i="1" s="1"/>
  <c r="R34" i="3"/>
  <c r="W24" i="2"/>
  <c r="U14" i="4"/>
  <c r="W7" i="4"/>
  <c r="U26" i="2"/>
  <c r="V35" i="2"/>
  <c r="W34" i="2"/>
  <c r="W35" i="2" s="1"/>
  <c r="D11" i="7"/>
  <c r="F20" i="5"/>
  <c r="V33" i="4" l="1"/>
  <c r="V29" i="4"/>
  <c r="V26" i="2"/>
  <c r="V28" i="3"/>
  <c r="S11" i="3"/>
  <c r="S17" i="3" s="1"/>
  <c r="S32" i="3" s="1"/>
  <c r="S34" i="3"/>
  <c r="U28" i="2"/>
  <c r="U29" i="2"/>
  <c r="U27" i="2"/>
  <c r="W26" i="2"/>
  <c r="U29" i="3"/>
  <c r="V29" i="3" s="1"/>
  <c r="W29" i="3" s="1"/>
  <c r="U33" i="4"/>
  <c r="W33" i="4" s="1"/>
  <c r="U29" i="4"/>
  <c r="W29" i="4" s="1"/>
  <c r="W14" i="4"/>
  <c r="R35" i="3"/>
  <c r="D24" i="5"/>
  <c r="E24" i="5"/>
  <c r="C24" i="5"/>
  <c r="U30" i="4"/>
  <c r="U31" i="4" s="1"/>
  <c r="T7" i="3"/>
  <c r="T11" i="3" l="1"/>
  <c r="T17" i="3" s="1"/>
  <c r="T32" i="3" s="1"/>
  <c r="T34" i="3"/>
  <c r="V30" i="3"/>
  <c r="V31" i="3" s="1"/>
  <c r="W28" i="3"/>
  <c r="W30" i="3" s="1"/>
  <c r="W31" i="3" s="1"/>
  <c r="W27" i="2"/>
  <c r="W28" i="2"/>
  <c r="W29" i="2"/>
  <c r="W62" i="1"/>
  <c r="W69" i="1"/>
  <c r="V30" i="4"/>
  <c r="V31" i="4" s="1"/>
  <c r="U7" i="3"/>
  <c r="U30" i="3"/>
  <c r="U31" i="3" s="1"/>
  <c r="V28" i="2"/>
  <c r="V29" i="2"/>
  <c r="V27" i="2"/>
  <c r="U11" i="3" l="1"/>
  <c r="U17" i="3" s="1"/>
  <c r="U32" i="3" s="1"/>
  <c r="U34" i="3"/>
  <c r="V7" i="3"/>
  <c r="W31" i="4"/>
  <c r="V11" i="3" l="1"/>
  <c r="V17" i="3" s="1"/>
  <c r="V32" i="3" s="1"/>
  <c r="W7" i="3"/>
  <c r="V34" i="3"/>
  <c r="W11" i="3" l="1"/>
  <c r="W17" i="3" s="1"/>
  <c r="W32" i="3" s="1"/>
  <c r="W66" i="1"/>
  <c r="W67" i="1" s="1"/>
  <c r="W68" i="1" s="1"/>
  <c r="W34" i="3"/>
  <c r="W35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model</author>
  </authors>
  <commentList>
    <comment ref="A8" authorId="0" shapeId="0" xr:uid="{00000000-0006-0000-0000-000001000000}">
      <text>
        <r>
          <rPr>
            <sz val="11"/>
            <color theme="1"/>
            <rFont val="宋体"/>
            <family val="2"/>
            <scheme val="minor"/>
          </rPr>
          <t>预测(Q2'26起)绿链 假设_手机电感: D12=2026隐含季度YoY / E12=2027 / F12=2028;I列=Q1'26黄底校准</t>
        </r>
      </text>
    </comment>
    <comment ref="I8" authorId="0" shapeId="0" xr:uid="{00000000-0006-0000-0000-000002000000}">
      <text>
        <r>
          <rPr>
            <sz val="11"/>
            <color theme="1"/>
            <rFont val="宋体"/>
            <family val="2"/>
            <scheme val="minor"/>
          </rPr>
          <t>Q1'26手机同比持平(2026Q1业绩说明会):H客户受DRAM冲击最小+抢份额,其余安卓承压</t>
        </r>
      </text>
    </comment>
    <comment ref="A10" authorId="0" shapeId="0" xr:uid="{00000000-0006-0000-0000-000003000000}">
      <text>
        <r>
          <rPr>
            <sz val="11"/>
            <color theme="1"/>
            <rFont val="宋体"/>
            <family val="2"/>
            <scheme val="minor"/>
          </rPr>
          <t>预测绿链 假设_消费AIoT: D8/E8/F8(适用季度YoY);I列=Q1'26校准</t>
        </r>
      </text>
    </comment>
    <comment ref="I10" authorId="0" shapeId="0" xr:uid="{00000000-0006-0000-0000-000004000000}">
      <text>
        <r>
          <rPr>
            <sz val="11"/>
            <color theme="1"/>
            <rFont val="宋体"/>
            <family val="2"/>
            <scheme val="minor"/>
          </rPr>
          <t>业绩会披露Q1非手机消费电子约+9%(校准值,使总营收=1684)</t>
        </r>
      </text>
    </comment>
    <comment ref="A12" authorId="0" shapeId="0" xr:uid="{00000000-0006-0000-0000-000005000000}">
      <text>
        <r>
          <rPr>
            <sz val="11"/>
            <color theme="1"/>
            <rFont val="宋体"/>
            <family val="2"/>
            <scheme val="minor"/>
          </rPr>
          <t>预测绿链 假设_汽车储能: D15/E15/F15(适用季度YoY);I列=Q1'26校准</t>
        </r>
      </text>
    </comment>
    <comment ref="I12" authorId="0" shapeId="0" xr:uid="{00000000-0006-0000-0000-000006000000}">
      <text>
        <r>
          <rPr>
            <sz val="11"/>
            <color theme="1"/>
            <rFont val="宋体"/>
            <family val="2"/>
            <scheme val="minor"/>
          </rPr>
          <t>Q1'26汽车3.6亿(+19%)+储能~0.34亿(+3x,占比2%) → 合计394(+25.3%),业绩会锚</t>
        </r>
      </text>
    </comment>
    <comment ref="A14" authorId="0" shapeId="0" xr:uid="{00000000-0006-0000-0000-000007000000}">
      <text>
        <r>
          <rPr>
            <sz val="11"/>
            <color theme="1"/>
            <rFont val="宋体"/>
            <family val="2"/>
            <scheme val="minor"/>
          </rPr>
          <t>预测绿链 假设_其他: D5/E5/F5(适用季度YoY);I列=Q1'26校准</t>
        </r>
      </text>
    </comment>
    <comment ref="I14" authorId="0" shapeId="0" xr:uid="{00000000-0006-0000-0000-000008000000}">
      <text>
        <r>
          <rPr>
            <sz val="11"/>
            <color theme="1"/>
            <rFont val="宋体"/>
            <family val="2"/>
            <scheme val="minor"/>
          </rPr>
          <t>Q1'26估算余项(+4.4%);QPM/中金口径全年平稳,残差主要分给特种</t>
        </r>
      </text>
    </comment>
    <comment ref="A16" authorId="0" shapeId="0" xr:uid="{00000000-0006-0000-0000-000009000000}">
      <text>
        <r>
          <rPr>
            <sz val="11"/>
            <color theme="1"/>
            <rFont val="宋体"/>
            <family val="2"/>
            <scheme val="minor"/>
          </rPr>
          <t>预测绿链 假设_其他: D9/E9/F9(适用季度YoY);I列=Q1'26校准</t>
        </r>
      </text>
    </comment>
    <comment ref="I16" authorId="0" shapeId="0" xr:uid="{00000000-0006-0000-0000-00000A000000}">
      <text>
        <r>
          <rPr>
            <sz val="11"/>
            <color theme="1"/>
            <rFont val="宋体"/>
            <family val="2"/>
            <scheme val="minor"/>
          </rPr>
          <t>Q1'26估算余项(+59%,低基数Q1'25=1.02亿):军工钽电容涨价+十五五开局恢复;全年QPM +20%</t>
        </r>
      </text>
    </comment>
    <comment ref="A17" authorId="0" shapeId="0" xr:uid="{00000000-0006-0000-0000-00000B000000}">
      <text>
        <r>
          <rPr>
            <sz val="11"/>
            <color theme="1"/>
            <rFont val="宋体"/>
            <family val="2"/>
            <scheme val="minor"/>
          </rPr>
          <t>预测(Q2'26起)绿链 假设_AI电感 季度分配行19/21/23(=行业TAM×份额+钽电容);I列=Q1'26黄底(环比持平FACT)</t>
        </r>
      </text>
    </comment>
    <comment ref="D17" authorId="0" shapeId="0" xr:uid="{00000000-0006-0000-0000-00000C000000}">
      <text>
        <r>
          <rPr>
            <sz val="11"/>
            <color theme="1"/>
            <rFont val="宋体"/>
            <family val="2"/>
            <scheme val="minor"/>
          </rPr>
          <t>2025年数据中心收入'超2亿'(2025年报业绩会),季度拆分为估算;含芯片电感~2亿+国产算力客户TLVR 0.35亿</t>
        </r>
      </text>
    </comment>
    <comment ref="I17" authorId="0" shapeId="0" xr:uid="{00000000-0006-0000-0000-00000D000000}">
      <text>
        <r>
          <rPr>
            <sz val="11"/>
            <color theme="1"/>
            <rFont val="宋体"/>
            <family val="2"/>
            <scheme val="minor"/>
          </rPr>
          <t>Q1'26数据中心环比持平(业绩会FACT)=Q4'25水平;Q2'26起 ◀绿链 假设_AI电感 季度分配(=行业TAM×份额+钽电容,QPM口径)</t>
        </r>
      </text>
    </comment>
    <comment ref="A20" authorId="0" shapeId="0" xr:uid="{00000000-0006-0000-0000-00000E000000}">
      <text>
        <r>
          <rPr>
            <sz val="11"/>
            <color theme="1"/>
            <rFont val="宋体"/>
            <family val="2"/>
            <scheme val="minor"/>
          </rPr>
          <t>预测绿链 假设_消费AIoT: D11/E11/F11(AIoT YoY假设);I列=Q1'26校准(占比8%锚)</t>
        </r>
      </text>
    </comment>
    <comment ref="I20" authorId="0" shapeId="0" xr:uid="{00000000-0006-0000-0000-00000F000000}">
      <text>
        <r>
          <rPr>
            <sz val="11"/>
            <color theme="1"/>
            <rFont val="宋体"/>
            <family val="2"/>
            <scheme val="minor"/>
          </rPr>
          <t>Q1'26 AIoT占比8%×16.84亿=1.347亿(业绩会FACT,YoY+22.8%);AI端侧多品类落地(vivo AI手机单机10元 vs 普通5-6元)</t>
        </r>
      </text>
    </comment>
    <comment ref="I25" authorId="0" shapeId="0" xr:uid="{00000000-0006-0000-0000-000010000000}">
      <text>
        <r>
          <rPr>
            <sz val="11"/>
            <color theme="1"/>
            <rFont val="宋体"/>
            <family val="2"/>
            <scheme val="minor"/>
          </rPr>
          <t>披露锚:Q1'26营收16.84亿(2026Q1业绩说明会)</t>
        </r>
      </text>
    </comment>
    <comment ref="A27" authorId="0" shapeId="0" xr:uid="{00000000-0006-0000-0000-000011000000}">
      <text>
        <r>
          <rPr>
            <sz val="11"/>
            <color theme="1"/>
            <rFont val="宋体"/>
            <family val="2"/>
            <scheme val="minor"/>
          </rPr>
          <t>预测(Q2'26起)绿链 假设_手机电感 第14行GM路径: B=Q2'26 C=Q3'26 D=Q4'26 E=2027E F=2028E;I列=Q1'26黄底校准</t>
        </r>
      </text>
    </comment>
    <comment ref="A28" authorId="0" shapeId="0" xr:uid="{00000000-0006-0000-0000-000012000000}">
      <text>
        <r>
          <rPr>
            <sz val="11"/>
            <color theme="1"/>
            <rFont val="宋体"/>
            <family val="2"/>
            <scheme val="minor"/>
          </rPr>
          <t>预测(Q2'26起)绿链 假设_消费AIoT 第13行GM路径: B=Q2'26 C=Q3'26 D=Q4'26 E=2027E F=2028E;I列=Q1'26黄底校准</t>
        </r>
      </text>
    </comment>
    <comment ref="I28" authorId="0" shapeId="0" xr:uid="{00000000-0006-0000-0000-000013000000}">
      <text>
        <r>
          <rPr>
            <sz val="11"/>
            <color theme="1"/>
            <rFont val="宋体"/>
            <family val="2"/>
            <scheme val="minor"/>
          </rPr>
          <t>银占叠层/磁珠BOM约30%,消费电子用量最大→Q1'26受银价冲击最深;3/20全系列调价落地后逐季修复</t>
        </r>
      </text>
    </comment>
    <comment ref="A29" authorId="0" shapeId="0" xr:uid="{00000000-0006-0000-0000-000014000000}">
      <text>
        <r>
          <rPr>
            <sz val="11"/>
            <color theme="1"/>
            <rFont val="宋体"/>
            <family val="2"/>
            <scheme val="minor"/>
          </rPr>
          <t>预测(Q2'26起)绿链 假设_汽车储能 第17行GM路径: B=Q2'26 C=Q3'26 D=Q4'26 E=2027E F=2028E;I列=Q1'26黄底校准</t>
        </r>
      </text>
    </comment>
    <comment ref="A30" authorId="0" shapeId="0" xr:uid="{00000000-0006-0000-0000-000015000000}">
      <text>
        <r>
          <rPr>
            <sz val="11"/>
            <color theme="1"/>
            <rFont val="宋体"/>
            <family val="2"/>
            <scheme val="minor"/>
          </rPr>
          <t>预测(Q2'26起)绿链 假设_其他 第6行GM路径: B=Q2'26 C=Q3'26 D=Q4'26 E=2027E F=2028E;I列=Q1'26黄底校准</t>
        </r>
      </text>
    </comment>
    <comment ref="A31" authorId="0" shapeId="0" xr:uid="{00000000-0006-0000-0000-000016000000}">
      <text>
        <r>
          <rPr>
            <sz val="11"/>
            <color theme="1"/>
            <rFont val="宋体"/>
            <family val="2"/>
            <scheme val="minor"/>
          </rPr>
          <t>预测(Q2'26起)绿链 假设_AI电感 第25行GM路径: B=Q2'26 C=Q3'26 D=Q4'26 E=2027E F=2028E;I列=Q1'26黄底校准</t>
        </r>
      </text>
    </comment>
    <comment ref="I31" authorId="0" shapeId="0" xr:uid="{00000000-0006-0000-0000-000017000000}">
      <text>
        <r>
          <rPr>
            <sz val="11"/>
            <color theme="1"/>
            <rFont val="宋体"/>
            <family val="2"/>
            <scheme val="minor"/>
          </rPr>
          <t>Q1'26新兴线GM校准值;Q2起链接QPM路径(芯片电感行业GM~50%,TLVR~70%;国巨电感GM路径26.8%→46%·JPM)</t>
        </r>
      </text>
    </comment>
    <comment ref="A32" authorId="0" shapeId="0" xr:uid="{00000000-0006-0000-0000-000018000000}">
      <text>
        <r>
          <rPr>
            <sz val="11"/>
            <color theme="1"/>
            <rFont val="宋体"/>
            <family val="2"/>
            <scheme val="minor"/>
          </rPr>
          <t>预测(Q2'26起)绿链 假设_其他 第10行GM路径: B=Q2'26 C=Q3'26 D=Q4'26 E=2027E F=2028E;I列=Q1'26黄底校准</t>
        </r>
      </text>
    </comment>
    <comment ref="I39" authorId="0" shapeId="0" xr:uid="{00000000-0006-0000-0000-000019000000}">
      <text>
        <r>
          <rPr>
            <sz val="11"/>
            <color theme="1"/>
            <rFont val="宋体"/>
            <family val="2"/>
            <scheme val="minor"/>
          </rPr>
          <t>Q1'26研发费用率接近10%(业绩会);投向:材料基础研究/汽车/陶瓷/AI/钽电容</t>
        </r>
      </text>
    </comment>
    <comment ref="J44" authorId="0" shapeId="0" xr:uid="{00000000-0006-0000-0000-00001A000000}">
      <text>
        <r>
          <rPr>
            <sz val="11"/>
            <color theme="1"/>
            <rFont val="宋体"/>
            <family val="2"/>
            <scheme val="minor"/>
          </rPr>
          <t>高新15%法定+研发加计扣除→FY25实际10.48%(中金税sheet);沿用10.5%</t>
        </r>
      </text>
    </comment>
    <comment ref="J50" authorId="0" shapeId="0" xr:uid="{00000000-0006-0000-0000-00001B000000}">
      <text>
        <r>
          <rPr>
            <sz val="11"/>
            <color theme="1"/>
            <rFont val="宋体"/>
            <family val="2"/>
            <scheme val="minor"/>
          </rPr>
          <t>2026年资本开支预算约15亿元(2026Q1业绩说明会);稼动率80%+;2027-28逐步回落(中金平推10.75亿/年)</t>
        </r>
      </text>
    </comment>
    <comment ref="I58" authorId="0" shapeId="0" xr:uid="{00000000-0006-0000-0000-00001C000000}">
      <text>
        <r>
          <rPr>
            <sz val="11"/>
            <color theme="1"/>
            <rFont val="宋体"/>
            <family val="2"/>
            <scheme val="minor"/>
          </rPr>
          <t>FY25隐含年化~2.7%(财务费用85.7/平均借款~3200);季度0.68%</t>
        </r>
      </text>
    </comment>
    <comment ref="M63" authorId="0" shapeId="0" xr:uid="{00000000-0006-0000-0000-00001D000000}">
      <text>
        <r>
          <rPr>
            <sz val="11"/>
            <color theme="1"/>
            <rFont val="宋体"/>
            <family val="2"/>
            <scheme val="minor"/>
          </rPr>
          <t>FY25实际派息率62.7%(DPS0.8);中金假设62.7%,国信46%;Base取60%</t>
        </r>
      </text>
    </comment>
    <comment ref="H64" authorId="0" shapeId="0" xr:uid="{00000000-0006-0000-0000-00001E000000}">
      <text>
        <r>
          <rPr>
            <sz val="11"/>
            <color theme="1"/>
            <rFont val="宋体"/>
            <family val="2"/>
            <scheme val="minor"/>
          </rPr>
          <t>腾讯行情 2026-06-11 14:03;总股本806.32百万股,总市值约450.2亿元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model</author>
  </authors>
  <commentList>
    <comment ref="I38" authorId="0" shapeId="0" xr:uid="{00000000-0006-0000-0100-000001000000}">
      <text>
        <r>
          <rPr>
            <sz val="11"/>
            <color theme="1"/>
            <rFont val="宋体"/>
            <family val="2"/>
            <scheme val="minor"/>
          </rPr>
          <t>2026Q1业绩说明会:归母净利1.78亿元(同比-23%~-24%,银价冲击);扣非1.67亿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model</author>
  </authors>
  <commentList>
    <comment ref="F19" authorId="0" shapeId="0" xr:uid="{00000000-0006-0000-0400-000001000000}">
      <text>
        <r>
          <rPr>
            <sz val="11"/>
            <color theme="1"/>
            <rFont val="宋体"/>
            <family val="2"/>
            <scheme val="minor"/>
          </rPr>
          <t>腾讯行情2026-06-11 14:03: 55.83元,总市值450.2亿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model</author>
  </authors>
  <commentList>
    <comment ref="D12" authorId="0" shapeId="0" xr:uid="{00000000-0006-0000-0700-000001000000}">
      <text>
        <r>
          <rPr>
            <sz val="11"/>
            <color theme="1"/>
            <rFont val="宋体"/>
            <family val="2"/>
            <scheme val="minor"/>
          </rPr>
          <t>2026=扣除Q1'26实际后,Q2-Q4使年度收入勾稽到行业目标的统一YoY;2027/2028=年度YoY平铺四个季度(保留季节性)</t>
        </r>
      </text>
    </comment>
  </commentList>
</comments>
</file>

<file path=xl/sharedStrings.xml><?xml version="1.0" encoding="utf-8"?>
<sst xmlns="http://schemas.openxmlformats.org/spreadsheetml/2006/main" count="523" uniqueCount="400">
  <si>
    <t>顺络电子 (002138.SZ) — P&amp;L 驱动页 | 分应用 量×率 STP</t>
  </si>
  <si>
    <t>单位:人民币百万元。FY23-FY25A+2025季度=实际(Wind同根·中金/国信模型dump,双源对账零差异);Q1'26A=业绩说明会锚;Q2'26E起收入YoY/AI额/分线GM=绿链后部6个行业假设sheet(QPM v2.6行业STP),费用率/Capex/WC/债务/分红仍为本页黄底(公司层假设)。</t>
  </si>
  <si>
    <t>图例: 蓝=硬编码实际值 | 黑=公式 | 绿=跨表链接(行业假设见 假设_手机电感/消费AIoT/汽车储能/AI电感/钽电容/其他) | 黄底=可修改假设。Q1'26A列(I列)分应用为黄底校准,勾稽至披露锚(营收16.84亿/归母1.78亿/毛利率32%);2025季度列仅损益。</t>
  </si>
  <si>
    <t>FY2023A</t>
  </si>
  <si>
    <t>FY2024A</t>
  </si>
  <si>
    <t>Q1'25A</t>
  </si>
  <si>
    <t>Q2'25A</t>
  </si>
  <si>
    <t>Q3'25A</t>
  </si>
  <si>
    <t>Q4'25A</t>
  </si>
  <si>
    <t>FY2025A</t>
  </si>
  <si>
    <t>Q1'26A</t>
  </si>
  <si>
    <t>Q2'26E</t>
  </si>
  <si>
    <t>Q3'26E</t>
  </si>
  <si>
    <t>Q4'26E</t>
  </si>
  <si>
    <t>FY2026E</t>
  </si>
  <si>
    <t>Q1'27E</t>
  </si>
  <si>
    <t>Q2'27E</t>
  </si>
  <si>
    <t>Q3'27E</t>
  </si>
  <si>
    <t>Q4'27E</t>
  </si>
  <si>
    <t>FY2027E</t>
  </si>
  <si>
    <t>Q1'28E</t>
  </si>
  <si>
    <t>Q2'28E</t>
  </si>
  <si>
    <t>Q3'28E</t>
  </si>
  <si>
    <t>Q4'28E</t>
  </si>
  <si>
    <t>FY2028E</t>
  </si>
  <si>
    <t>一、分应用收入引擎 (Rmb mn) — 预测YoY/AI绝对额 ◀绿链后部行业假设sheet(QPM v2.6); I列=Q1'26黄底校准</t>
  </si>
  <si>
    <t>手机通讯</t>
  </si>
  <si>
    <t xml:space="preserve">  YoY</t>
  </si>
  <si>
    <t>消费电子(非手机)</t>
  </si>
  <si>
    <t>汽车电子及储能</t>
  </si>
  <si>
    <t>大工业(基站/ICT/服务器电源)</t>
  </si>
  <si>
    <t>特种(贵阳·军工)</t>
  </si>
  <si>
    <t xml:space="preserve">  其中:AI/数据中心(电感+钽电容)</t>
  </si>
  <si>
    <t xml:space="preserve">   YoY</t>
  </si>
  <si>
    <t xml:space="preserve">  其中:AIoT/物联网端侧</t>
  </si>
  <si>
    <t>新兴应用合计(AIoT+AI/DC)</t>
  </si>
  <si>
    <t xml:space="preserve">  同比 YoY</t>
  </si>
  <si>
    <t>总收入</t>
  </si>
  <si>
    <t>勾稽检查: 引擎总收入 − 披露营收 (应≈0)</t>
  </si>
  <si>
    <t>二、分线毛利率 (%) — Q2'26起 ◀绿链行业假设sheet GM路径(QPM 05_Margin_Curve); I列=Q1'26黄底校准至披露32%</t>
  </si>
  <si>
    <t>手机通讯 毛利率</t>
  </si>
  <si>
    <t>消费电子 毛利率</t>
  </si>
  <si>
    <t>汽车及储能 毛利率</t>
  </si>
  <si>
    <t>大工业 毛利率</t>
  </si>
  <si>
    <t>新兴应用 毛利率</t>
  </si>
  <si>
    <t>特种 毛利率</t>
  </si>
  <si>
    <t>分线毛利合计 (引擎)</t>
  </si>
  <si>
    <t>混合毛利率 (实际=IS勾稽 / 预测=引擎)</t>
  </si>
  <si>
    <t>三、费用率、其他损益与税 (实际列=由实际值算出的公式;预测=黄底假设)</t>
  </si>
  <si>
    <t>税金及附加 占收入% ◀假设</t>
  </si>
  <si>
    <t>销售费用率 ◀假设</t>
  </si>
  <si>
    <t>管理费用率 ◀假设</t>
  </si>
  <si>
    <t>研发费用率 ◀假设</t>
  </si>
  <si>
    <t>其他收益(政府补助等) ◀假设</t>
  </si>
  <si>
    <t>投资收益及处置等 ◀假设</t>
  </si>
  <si>
    <t>减值损失(资产+信用) ◀假设</t>
  </si>
  <si>
    <t>营业外收支净额 ◀假设</t>
  </si>
  <si>
    <t>有效税率 ◀假设</t>
  </si>
  <si>
    <t>少数股东损益占净利% ◀假设</t>
  </si>
  <si>
    <t>四、D&amp;A、Capex 与营运资本</t>
  </si>
  <si>
    <t>折旧(含长期待摊摊销) ◀假设</t>
  </si>
  <si>
    <t>无形资产摊销 ◀假设</t>
  </si>
  <si>
    <t>D&amp;A 合计</t>
  </si>
  <si>
    <t>资本开支 Capex ◀假设</t>
  </si>
  <si>
    <t>DSO 应收天数(含应收款项融资) ◀假设</t>
  </si>
  <si>
    <t>DIO 存货天数 ◀假设</t>
  </si>
  <si>
    <t>DPO 应付天数 ◀假设</t>
  </si>
  <si>
    <t>五、债务与利息 (短借+一年内到期+长借 合并滚动)</t>
  </si>
  <si>
    <t>期初借款</t>
  </si>
  <si>
    <t>(+) 净新增/(偿还) ◀假设</t>
  </si>
  <si>
    <t>(=) 期末借款</t>
  </si>
  <si>
    <t>借款净利率(季度) ◀假设</t>
  </si>
  <si>
    <t>净财务费用</t>
  </si>
  <si>
    <t>六、股本、分红与估值 (年度列)</t>
  </si>
  <si>
    <t>总股本 (百万股)</t>
  </si>
  <si>
    <t>每股分红 DPS (元,当年宣告)</t>
  </si>
  <si>
    <t>派息率 ◀假设(FY列)</t>
  </si>
  <si>
    <t>股价 (元)</t>
  </si>
  <si>
    <t>市值 (Rmb mn)</t>
  </si>
  <si>
    <t>净债务 (Rmb mn)</t>
  </si>
  <si>
    <t>EV (Rmb mn)</t>
  </si>
  <si>
    <t>EV/EBITDA (x)</t>
  </si>
  <si>
    <t>P/E (x)</t>
  </si>
  <si>
    <t>顺络电子 (002138.SZ) — 季度利润表 (Rmb mn)</t>
  </si>
  <si>
    <t>收入与毛利由 Drivers 分应用引擎驱动;实际值取自年报/季报(Wind同根双源对账)。</t>
  </si>
  <si>
    <t>图例同 Drivers。Q1'26A(I列)为引擎勾稽列:营收/归母/毛利率锚定业绩会披露,费用明细为估算;行39勾稽检查应≈0。</t>
  </si>
  <si>
    <t>营业收入</t>
  </si>
  <si>
    <t>营业成本</t>
  </si>
  <si>
    <t>毛利</t>
  </si>
  <si>
    <t xml:space="preserve">  毛利率 %</t>
  </si>
  <si>
    <t>税金及附加</t>
  </si>
  <si>
    <t>销售费用</t>
  </si>
  <si>
    <t>管理费用</t>
  </si>
  <si>
    <t>研发费用</t>
  </si>
  <si>
    <t>财务费用</t>
  </si>
  <si>
    <t>其他收益</t>
  </si>
  <si>
    <t>投资收益/公允/处置净额</t>
  </si>
  <si>
    <t>减值损失(资产+信用)</t>
  </si>
  <si>
    <t>营业利润</t>
  </si>
  <si>
    <t xml:space="preserve">  营业利润率 %</t>
  </si>
  <si>
    <t>营业外收支净额</t>
  </si>
  <si>
    <t>利润总额</t>
  </si>
  <si>
    <t>所得税</t>
  </si>
  <si>
    <t>净利润(含少数)</t>
  </si>
  <si>
    <t>少数股东损益</t>
  </si>
  <si>
    <t>归母净利润</t>
  </si>
  <si>
    <t xml:space="preserve">  归母净利率 %</t>
  </si>
  <si>
    <t xml:space="preserve">  归母净利 YoY</t>
  </si>
  <si>
    <t>EPS (元)</t>
  </si>
  <si>
    <t>Memo(备查):</t>
  </si>
  <si>
    <t>扣非归母净利润 (披露)</t>
  </si>
  <si>
    <t>D&amp;A</t>
  </si>
  <si>
    <t>EBIT (=营业利润+财务费用)</t>
  </si>
  <si>
    <t>EBITDA (=EBIT+D&amp;A)</t>
  </si>
  <si>
    <t xml:space="preserve">  EBITDA 利润率 %</t>
  </si>
  <si>
    <t>披露锚: Q1'26归母净利(业绩会)</t>
  </si>
  <si>
    <t>勾稽检查: 模型归母 − 披露锚 (应≈0)</t>
  </si>
  <si>
    <t>顺络电子 (002138.SZ) — 资产负债表 (Rmb mn)</t>
  </si>
  <si>
    <t>营运资本由 Drivers DSO/DIO/DPO 驱动(季度91.25天);现金链接CF;固定资产=滚动(+Capex−折旧)。</t>
  </si>
  <si>
    <t>图例同 Drivers。实际列仅FY23/24/25(年报);2025季度与Q1'26无披露BS→Q1'26起由FY25滚动推算;行32平衡检查必须=0。</t>
  </si>
  <si>
    <t>资产</t>
  </si>
  <si>
    <t>货币资金</t>
  </si>
  <si>
    <t>应收款项(票据+账款+应收款项融资)</t>
  </si>
  <si>
    <t>存货</t>
  </si>
  <si>
    <t>预付/其他应收/其他流动资产</t>
  </si>
  <si>
    <t>流动资产合计</t>
  </si>
  <si>
    <t>固定资产及在建工程</t>
  </si>
  <si>
    <t>无形资产</t>
  </si>
  <si>
    <t>商誉</t>
  </si>
  <si>
    <t>其他非流动资产(长期股权/递延税等)</t>
  </si>
  <si>
    <t>非流动资产合计</t>
  </si>
  <si>
    <t>资产总计</t>
  </si>
  <si>
    <t>负债与权益</t>
  </si>
  <si>
    <t>短期借款及一年内到期(=借款引擎−长借)</t>
  </si>
  <si>
    <t>应付票据及应付账款</t>
  </si>
  <si>
    <t>合同负债</t>
  </si>
  <si>
    <t>其他流动负债(薪酬/税费/其他应付)</t>
  </si>
  <si>
    <t>流动负债合计</t>
  </si>
  <si>
    <t>长期借款</t>
  </si>
  <si>
    <t>其他非流动负债(递延税/递延收益)</t>
  </si>
  <si>
    <t>负债合计</t>
  </si>
  <si>
    <t>少数股东权益</t>
  </si>
  <si>
    <t>归属母公司股东权益</t>
  </si>
  <si>
    <t>股东权益合计</t>
  </si>
  <si>
    <t>负债与股东权益总计</t>
  </si>
  <si>
    <t>平衡检查 (资产−负债权益, 必须=0)</t>
  </si>
  <si>
    <t>净债务(借款合计−货币资金)</t>
  </si>
  <si>
    <t xml:space="preserve">  净债务/EBITDA (x, 年度)</t>
  </si>
  <si>
    <t>顺络电子 (002138.SZ) — 现金流量表 (Rmb mn)</t>
  </si>
  <si>
    <t>预测期营运资本变动取自BS期间差额,期末现金回链BS;实际列为Wind年报口径(利息列于筹资)。</t>
  </si>
  <si>
    <t>图例同 Drivers。注:预测期口径=净利润起步(利息已含于净利),故筹资段不再单列利息;减值在预测期不加回(资产由天数驱动)。</t>
  </si>
  <si>
    <t>经营活动</t>
  </si>
  <si>
    <t>(+) D&amp;A</t>
  </si>
  <si>
    <t>(+) 减值准备(实际列)</t>
  </si>
  <si>
    <t>(−) Δ应收款项</t>
  </si>
  <si>
    <t>(−) Δ存货</t>
  </si>
  <si>
    <t>(+) Δ应付款项</t>
  </si>
  <si>
    <t>(+/−) 其他经营调整(实际=勾稽)</t>
  </si>
  <si>
    <t>经营活动现金流 CFO</t>
  </si>
  <si>
    <t>投资活动</t>
  </si>
  <si>
    <t>(−) 资本开支</t>
  </si>
  <si>
    <t>(−) 长期投资及其他</t>
  </si>
  <si>
    <t>投资活动现金流 CFI</t>
  </si>
  <si>
    <t>筹资活动</t>
  </si>
  <si>
    <t>吸收投资(含少数股东)</t>
  </si>
  <si>
    <t>借款净变动</t>
  </si>
  <si>
    <t>股利/利息支付(实际列·Wind口径)</t>
  </si>
  <si>
    <t>(−) 归母股利(预测,Q3支付上年宣告)</t>
  </si>
  <si>
    <t>(−) 少数股东股利(预测) ◀假设</t>
  </si>
  <si>
    <t>其他筹资净额</t>
  </si>
  <si>
    <t>筹资活动现金流 CFF</t>
  </si>
  <si>
    <t>现金汇总</t>
  </si>
  <si>
    <t>汇率影响</t>
  </si>
  <si>
    <t>现金净变动</t>
  </si>
  <si>
    <t>期初现金及等价物</t>
  </si>
  <si>
    <t>期末现金及等价物</t>
  </si>
  <si>
    <t>Memo: FCF (CFO−Capex)</t>
  </si>
  <si>
    <t>顺络电子 (002138.SZ) 目标价 — FY2027E P/E 概率加权</t>
  </si>
  <si>
    <t>Probability-Weighted Valuation | 倍数锚: 国信30-32x / 中金TP50元隐含23.7x 27E / 国巨链23-35x / A股被动件可比2026E中位~21x</t>
  </si>
  <si>
    <t>Bull</t>
  </si>
  <si>
    <t>Base</t>
  </si>
  <si>
    <t>Bear</t>
  </si>
  <si>
    <t>加权</t>
  </si>
  <si>
    <t>概率</t>
  </si>
  <si>
    <t>对齐QPM 08_Scenarios: Bull25/Base55/Bear15+Tail5(并入Bear)</t>
  </si>
  <si>
    <t>目标 P/E (FY2027E)</t>
  </si>
  <si>
    <t>QPM情景PE: Bull35/Base30/Bear25/Tail20(2H27 Decel-Up期PE已打折);Bear=0.15×25x+0.05×20x≈24x</t>
  </si>
  <si>
    <t xml:space="preserve">  归母净利情景系数 (×Base)</t>
  </si>
  <si>
    <t>QPM NP27E: Bull20.7/Base16.5/Bear12.4/Tail9.3亿→系数1.25/1.00/0.70(Bear+Tail加权);Bull=钽存储订单+NV提前+涨价25%全落地</t>
  </si>
  <si>
    <t>FY2027E 归母净利 (Rmb mn)</t>
  </si>
  <si>
    <t>Base=模型 IS!R26;对照: 中金1703 / 国信1655 / 一致预期1653 (2026-06-08)</t>
  </si>
  <si>
    <t>隐含市值 (Rmb mn)</t>
  </si>
  <si>
    <t xml:space="preserve">  (÷) 总股本 (百万股)</t>
  </si>
  <si>
    <t>目标价 (元/股)</t>
  </si>
  <si>
    <t>加权目标价 (元/股)</t>
  </si>
  <si>
    <t>现价 (元, 2026-06-11)</t>
  </si>
  <si>
    <t>上行/(下行)空间</t>
  </si>
  <si>
    <t>各情景上行/(下行)</t>
  </si>
  <si>
    <t>Memo: 隐含市值对应 EV/EBITDA(27E)</t>
  </si>
  <si>
    <t>参考锚(外部):</t>
  </si>
  <si>
    <t>中金 TP 50元(跑赢行业,DCF内含38.25元);国信 DCF: FCFF 85.5/APV 93.9元(2026-03);卖方一致预期2027E归母16.53亿(2026-06-08)</t>
  </si>
  <si>
    <t>中信系SOTP(段子·传闻级): 主业300亿+存储钽120亿+AI钽140亿+AI电感150亿=700亿(对应~87元);另'900亿'口径为最乐观传闻</t>
  </si>
  <si>
    <t>顺络电子 (002138.SZ) — 投资观点与核心假设 | 买方模型 v2 (行业假设联动版) 2026-06-11</t>
  </si>
  <si>
    <t>概率加权 P/E(FY2027E)| 实际值: Wind同根双源对账零差异 + 2026Q1业绩说明会 | 收入YoY/AI额/分线GM ◀绿链6个行业假设sheet(QPM v2.6) | 现价55.83元(市值450亿)</t>
  </si>
  <si>
    <t>核心结论</t>
  </si>
  <si>
    <t>概率加权目标价 63.1元,较现价 55.83元 +13.0%:Base(55%概率,61.5元/+10.1%)= FY2027E 归母16.5亿×30x = 495亿市值,与QPM v2.6情景引擎Base 495亿精确咬合——本模型三表引擎在装入QPM行业假设(机柜×颗数×ASP×份额、NEV量价、钽电容总盘)后,独立复算出与QPM相同的盈利,形成双引擎交叉验证。现价对应 40.7x FY26E / 27.3x FY27E PE。赔率结构:Bull 89.6元(+61%,25%) / Bear 34.4元(−38%,20%),期望收益+13%为正但集中在AI兑现:钽电容存储订单(26年底窗口)与VR200 ramp(4Q26)是未来两个季度的胜负手。FY26E 归母11.1亿仍低于一致预期13.1亿——分歧在银价下的毛利率修复斜率(本模型FY26 GM 35.2% vs 卖方36.6%+,Q1'26实际32%站在我们一边);2Q26若调价兑现(QPM隐含math: NP beat概率55-65%),Base上修路径清晰。</t>
  </si>
  <si>
    <t>🐂 牛市观点(Bull → 89.6元,+61%,概率25%)</t>
  </si>
  <si>
    <t>① 钽电容份额故事兑现:行业总盘220→293→340亿(假设_钽电容,海外四大90%+且基本不扩产、三轮涨价高端累计65%),顺络渗透仅0.8%→2.6%(Base);Bull=存储原厂订单Q4落地+NV 8规格提前批量+国庆涨价25%全落地——卖方SOTP隐含存储钽20%份额 vs 本模型2.6%,这一裂口就是Bull的空间(QPM Bull NP27 20.7亿)。</t>
  </si>
  <si>
    <t>② AI电感量价双击:行业金额40→70→95亿(假设_AI电感:NV机柜7.5→15万柜×颗数4500→6000+TPU V7单芯片$100),顺络份额13%→17%(国产算力TLVR一供独供+TLVR 8条线H2投产+泰国6条2027);TLVR四相$2单价(两相$1的2倍)+村田二轮涨价→新兴线GM 38%→42%(JPM给国巨电感26.8%→46%佐证)。</t>
  </si>
  <si>
    <t>③ 汽车content加速:NEV盘子82.5→105→130亿×份额20.8%→20.0%(假设_汽车储能),车规电感+50%指引、域控板用量+30-40%、电池客户(BMS)成第一大客户;Base已含+29%/+29%/+24%,800V加速则向中金+37.5%收敛。</t>
  </si>
  <si>
    <t>④ 估值锚共振:Base 30x 27E vs 国巨链卖方目标23-35x(27/28E)、A股被动件AI周期溢价;若2H26业绩逐季加速(QPM季度路径4Q26 YoY+36%),30x在Accel-Up期有支撑,Bull 35x对应724亿(QPM)。</t>
  </si>
  <si>
    <t>🐻 熊市观点(Bear → 34.4元,−38%,概率20%=QPM Bear15%+Tail5%)</t>
  </si>
  <si>
    <t>① 银价传导失败:银占叠层BOM~30%,调价'仅覆盖成本不加价'且直接客户逐户谈判;若GM修复止步34%,FY26归母&lt;10亿,现价40.7x FY26E直接暴露;Q3'26分红季现金水位仅0.3亿(Base),融资依赖度上升。</t>
  </si>
  <si>
    <t>② AI期权折戟链:VR200推迟2季+国产算力27年库存消化+乾坤/村田挤份额(Rubin电感单价$0.3-0.4不可阻挡的量增价减)+钽涨价被大客户拒绝+存储订单流空(QPM Bear驱动);钽量产know-how可靠性问题未彻底解决(苹果两三年未放量/海力士试跑出过问题/NV尚未送样——渠道专家口径,与段子'已获订单'冲突)。</t>
  </si>
  <si>
    <t>③ 2H27斜率风险:即便Base兑现,2027全年为Decel-Up(收入YoY 25.7%→12.9%逐季回落,QPM 12_YoY),PE锚30x在斜率下行期有压缩风险——情景PE已按此打折(Bull 35/Base 30/Bear 25/Tail 20),但若杀估值先于业绩,Bear 24x×0.70系数=276亿(−38%)。</t>
  </si>
  <si>
    <t>④ 现金流软肋:Base下FY26 FCF −4.5亿(15亿capex+6.5亿分红),靠净新增借款11/8/6亿滚动,净债务27.8→44.5亿(FY28E);手机基本盘订单能见度短+存储涨价挤压中低端,大工业/特种增长本质是低基数修复。</t>
  </si>
  <si>
    <t>核心假设(收入/GM全部链接行业假设sheet,改行业量价份额即全表联动)</t>
  </si>
  <si>
    <t>① 收入引擎(QPM行业STP→份额→分部):FY26E 79.5亿(+17.9%)/ FY27E 97.0亿(+21.9%)/ FY28E 115.3亿(+19.0%)。手机=行业71/74/75亿×份额28.3%→27.4%(与村田五五开,近天花板);消费=颗数+8%×ASP−3%;汽车储能=NEV盘子中值×份额~20%+储能2.5/4/5.5亿;AI/DC=电感(行业40/70/95亿×份额13/16/17%)+钽(总盘220/293/340亿×份额0.8/1.5/2.6%)=7.0/15.6/25.0亿;AIoT +18/18/15%;大工业平稳;特种+20/15/12%。</t>
  </si>
  <si>
    <t>② 盈利:毛利率 Q1'26A 32.0%(银价)→FY26 35.2%→FY27 38.3%→FY28 38.8%(分线GM路径=QPM 05_Margin:新兴38→41→42%/特种46→48%/手机37.5→38.8%);研发费率10.2%→8.6%,税率10.5%,少数股东10.5% → 归母 11.1 / 16.5 / 20.5亿(EPS 1.37 / 2.05 / 2.54元)。</t>
  </si>
  <si>
    <t>③ 资本与现金:capex 15.0/13.6/12.0亿(2026=公司预算);D&amp;A 6.8/7.6/8.4亿;DSO 178→174天/DIO 115→117天/DPO 95天;派息率60%;净新增借款11/8/6亿;FCF −4.5/+3.1/+9.5亿;EBITDA 21.8/29.5/35.4亿。</t>
  </si>
  <si>
    <t>④ 估值(对齐QPM 08_Scenarios):FY2027E 归母16.5亿 × PE(Bull 35x/Base 30x/Bear 24x)× 归母系数(1.25/1.00/0.70),概率25/55/20 → 目标价 89.6/61.5/34.4元,加权 63.1元(+13.0%)。隐含市值 Bull 723亿/Base 495亿/Bear 277亿 ≈ QPM 724/495/310(Tail 186并入Bear)。外部锚:中金TP 50元、国信30-32x、一致预期27E归母16.5亿(模型Base=一致预期,上行押AI超预期)。</t>
  </si>
  <si>
    <t>⑤ 信息分层纪律:FACT(业绩会)&gt;专家(Acecamp)&gt;卖方&gt;段子。行业假设sheet中每条假设标注来源与冲突(NV份额60-70%疑为乾坤不入模/钽7元颗价不采/Rubin'+420%'弃用);Q1'26列为黄底校准(勾稽差0.3mn)。</t>
  </si>
  <si>
    <t>注:v2变更——Drivers黄底收入YoY/AI绝对额/分线GM全部改为绿链后部6个行业假设sheet(假设_手机电感/消费AIoT/汽车储能/AI电感/钽电容/其他),行业假设=QPM v2.6(机柜/TPU/NEV/钽总盘/份额/GM路径);费用率/Capex/营运资本/债务/分红仍为Drivers本页黄底(公司层假设)。模型经pycel全表校验:公式错误0、BS 22列平衡|chk|&lt;0.001、Drivers↔行业假设年度勾稽10/10精确、Q1'26归母勾稽差+0.3mn。三表引擎独立复算FY27E归母16.5亿=QPM Base,双引擎互证。</t>
  </si>
  <si>
    <t>被动元件竞争对手与可比估值 — AI 超级周期 read-across</t>
  </si>
  <si>
    <t>来源: JPM/大摩/花旗/汇丰/美银/富邦 国巨&amp;VSH 报告(2026-05/06) + 国信可比表;蓝=报告披露,绿=链接本模型</t>
  </si>
  <si>
    <t>公司</t>
  </si>
  <si>
    <t>代码</t>
  </si>
  <si>
    <t>现价(报告日)</t>
  </si>
  <si>
    <t>券商目标价</t>
  </si>
  <si>
    <t>目标倍数</t>
  </si>
  <si>
    <t>FY26E PE</t>
  </si>
  <si>
    <t>FY27E PE</t>
  </si>
  <si>
    <t>核心AI看点</t>
  </si>
  <si>
    <t>国巨 Yageo</t>
  </si>
  <si>
    <t>2327.TW</t>
  </si>
  <si>
    <t>NT$751 (06-08)</t>
  </si>
  <si>
    <t>MS 1010/JPM 1000/BofA 927/HSBC 650/富邦 620</t>
  </si>
  <si>
    <t>23-35x 27/28E EPS</t>
  </si>
  <si>
    <t>1Q26 AI占收入14-15%;钽电容AI权重&gt;30%;BB 1.3x;GM 38.1%(1Q26A);涨价:26年电感45-50%产品+10%,27年+20-25%(JPM)</t>
  </si>
  <si>
    <t>Vishay 威世</t>
  </si>
  <si>
    <t>VSH.US</t>
  </si>
  <si>
    <t>$36.95 (05-18)</t>
  </si>
  <si>
    <t>JPM N $40 / BofA U $28</t>
  </si>
  <si>
    <t>BofA 11x 28E EPS</t>
  </si>
  <si>
    <t>BB 1.34x;工业功率/AI数据中心电容大单;BofA警示4月来+109%估值透支</t>
  </si>
  <si>
    <t>风华高科</t>
  </si>
  <si>
    <t>000636.SZ</t>
  </si>
  <si>
    <t>13.24 (国信表)</t>
  </si>
  <si>
    <t>—</t>
  </si>
  <si>
    <t>MLCC全面涨价期弹性标的(2027海外转产情景)</t>
  </si>
  <si>
    <t>三环集团</t>
  </si>
  <si>
    <t>300408.SZ</t>
  </si>
  <si>
    <t>32.56 (国信表)</t>
  </si>
  <si>
    <t>高端MLCC国产承接(AI挤占效应)</t>
  </si>
  <si>
    <t>麦捷科技</t>
  </si>
  <si>
    <t>300319.SZ</t>
  </si>
  <si>
    <t>10.28 (国信表)</t>
  </si>
  <si>
    <t>电感同业;TLVR送样阶段(落后顺络)</t>
  </si>
  <si>
    <t>洁美科技</t>
  </si>
  <si>
    <t>002859.SZ</t>
  </si>
  <si>
    <t>19.12 (国信表)</t>
  </si>
  <si>
    <t>载带——供日韩大厂,受益海外需求</t>
  </si>
  <si>
    <t>顺络电子(本模型)</t>
  </si>
  <si>
    <t>002138.SZ</t>
  </si>
  <si>
    <t>30x 27E(Base)</t>
  </si>
  <si>
    <t>叠层电感全球与村田五五开;TLVR一供(国产算力大客户);钽电容国内民用进展第一</t>
  </si>
  <si>
    <t>Read-across 要点:</t>
  </si>
  <si>
    <t>1. 份额溢出三层逻辑: 日韩产能被AI高端MLCC吸收(UTR 90-95%,耗能3-5x)→订单溢出国巨;国巨电感占比13%→7%(JPM 26-28E)且资源倾斜钽/MLCC→功率电感二次溢出大陆(顺络直接受益)。</t>
  </si>
  <si>
    <t>2. 电感涨价弹性参照: JPM给国巨电感GM路径 26.8%(24A)→29.6%(26E)→43%(27E末)→46%(28E),三年+19pct;顺络客户结构不同应打折,但方向一致(村田已涨,二轮酝酿中)。</t>
  </si>
  <si>
    <t>3. 周期位置早段: 1Q26营收几乎未含涨价;BB 1.2-1.3x、交期拉长、渠道库存&lt;5个月健康;2H26-2027供需缺口扩大(多家卖方一致)。</t>
  </si>
  <si>
    <t>4. 风险对照(BofA-VSH反面清单): 短期股价翻倍后估值透支/需求pull-forward/原材料涨价侵蚀毛利——顺络银价冲击已在Q1'26利润-23%中体现。</t>
  </si>
  <si>
    <t>行业假设 — 手机电感 (QPM 19_IND_手机电感 / S1)</t>
  </si>
  <si>
    <t>行业量×单机颗数×ASP→行业金额×顺络份额→S1收入;驱动 Drivers!手机YoY与毛利率</t>
  </si>
  <si>
    <t>黄=行业假设(可改) 蓝=QPM/实际 绿=链接</t>
  </si>
  <si>
    <t>2024A</t>
  </si>
  <si>
    <t>2025A</t>
  </si>
  <si>
    <t>2026E</t>
  </si>
  <si>
    <t>2027E</t>
  </si>
  <si>
    <t>2028E</t>
  </si>
  <si>
    <t>来源/备注</t>
  </si>
  <si>
    <t>全球手机出货 (亿部)</t>
  </si>
  <si>
    <t>QPM:26E'-13%'口径存疑弃用,取约持平(-1%~0%);DRAM涨价压制安卓为下行风险</t>
  </si>
  <si>
    <t>单机电感颗数 (均值)</t>
  </si>
  <si>
    <t>100-150颗;AI手机增配驱动上行(vivo AI机型被动件10元/台 vs 普通5-6元)</t>
  </si>
  <si>
    <t>行业需求 (亿颗)</t>
  </si>
  <si>
    <t>行业混合 ASP (元/颗)</t>
  </si>
  <si>
    <t>年降2-4%;2026年4月起调价对冲银价→年降暂停一年</t>
  </si>
  <si>
    <t>行业金额 (亿元)</t>
  </si>
  <si>
    <t>顺络份额</t>
  </si>
  <si>
    <t>叠层电感与村田五五开(26Q1业绩会FACT);份额近天花板→S1增长=行业量+AI增配,非份额(QPM)</t>
  </si>
  <si>
    <t>顺络手机收入 (亿元)</t>
  </si>
  <si>
    <t>QPM S1: 20.16/20.45/20.63亿(中金手机-5%为最保守对照)</t>
  </si>
  <si>
    <t>适用季度YoY (→Drivers手机行)</t>
  </si>
  <si>
    <t>毛利率路径 [B=Q2'26 C=Q3'26 D=Q4'26 E=2027E F=2028E]</t>
  </si>
  <si>
    <t>QPM 05_Margin: S1 25A38.9%→26E37.5%→27E38.5%→28E38.8%;Q1'26A 31%(银价)逐季修复</t>
  </si>
  <si>
    <t>行业假设 — 消费电子与AIoT (QPM S2 + AIoT)</t>
  </si>
  <si>
    <t>消费=等效颗数×ASP(QPM 03/04);AIoT为公司单列口径(Q1'26占比8%);驱动 Drivers!消费YoY/AIoT YoY/消费毛利率</t>
  </si>
  <si>
    <t>消费行业等效颗数 (亿颗)</t>
  </si>
  <si>
    <t>QPM Q+8%/年: TWS/手表/路由/白电/PC多品类,AI端侧渗透</t>
  </si>
  <si>
    <t>混合 ASP (元/颗)</t>
  </si>
  <si>
    <t>QPM P年降3%</t>
  </si>
  <si>
    <t>顺络消费收入 (亿元)</t>
  </si>
  <si>
    <t>QPM S2: 15.63/16.39/17.01亿;注意与Q1'26实际+9%衔接→隐含Q2-Q4减速(行12)</t>
  </si>
  <si>
    <t>适用季度YoY (→Drivers消费行)</t>
  </si>
  <si>
    <t>AIoT/物联网端侧 (新兴线内,公司单列口径)</t>
  </si>
  <si>
    <t>Q1'26占比8%(≈1.35亿/季)/同比+22%(业绩会FACT);QPM行业驱动:AI端侧多品类落地,客群分散</t>
  </si>
  <si>
    <t>AIoT YoY 假设 (→Drivers AIoT行)</t>
  </si>
  <si>
    <t>公司指引全年双位数;Q1'26实际+22.8%→全年小幅减速;QPM未单列AIoT(其S6c'IDC其他'实为本残差的另一标签)</t>
  </si>
  <si>
    <t>消费毛利率路径 [B=Q2'26 C=Q3'26 D=Q4'26 E=2027E F=2028E]</t>
  </si>
  <si>
    <t>QPM 05: S2 26E34.5/27E35.5/28E35.8;银占叠层BOM~30%,消费受冲击最深、修复最大</t>
  </si>
  <si>
    <t>行业假设 — 汽车电子与储能 (QPM 20_IND_汽车储能 / S3)</t>
  </si>
  <si>
    <t>NEV产量×单车价值→盘子带宽×顺络份额+储能;驱动 Drivers!汽车储能YoY与毛利率</t>
  </si>
  <si>
    <t>中国NEV产量 (万辆)</t>
  </si>
  <si>
    <t>中汽协口径;26E+15%/27+10%/28+9%(QPM)</t>
  </si>
  <si>
    <t>NEV渗透率 (产量口径)</t>
  </si>
  <si>
    <t>S曲线 L=75%/t0=2022/K=0.55 (QPM PSC)</t>
  </si>
  <si>
    <t>单车价值量 NEV (元)</t>
  </si>
  <si>
    <t>车规电感+50%指引→content加速;域控板用量+30-40%;公司目标上限NEV 1500元/燃油400-500元</t>
  </si>
  <si>
    <t>NEV电感盘子-下沿 (亿元)</t>
  </si>
  <si>
    <t>NEV电感盘子-上沿 (亿元)</t>
  </si>
  <si>
    <t>QPM DNA带宽(行业平均单车价值无FACT);含部分燃油/出口</t>
  </si>
  <si>
    <t>盘子中值 (亿元)</t>
  </si>
  <si>
    <t>顺络汽车份额</t>
  </si>
  <si>
    <t>QPM诊断~20-24%;全球份额目标20-30%(长期);电池客户(BMS)今年成第一大客户</t>
  </si>
  <si>
    <t>顺络汽车收入 (亿元)</t>
  </si>
  <si>
    <t>QPM S3a: 17.16/21.33/26.01亿(中金+37.5%/国信+33%为上沿对照)</t>
  </si>
  <si>
    <t>储能收入 (亿元)</t>
  </si>
  <si>
    <t>Q1'26同比+3倍(FACT,小基数);AIDC配储+大储(QPM S3b);25A取中金0.95(国信0.47,冲突已登记)</t>
  </si>
  <si>
    <t>汽车储能合计 (亿元)</t>
  </si>
  <si>
    <t>B/C列=11.04/15.25亿,与Drivers实际勾稽✓</t>
  </si>
  <si>
    <t>适用季度YoY (→Drivers汽车储能行)</t>
  </si>
  <si>
    <t>QPM S3混合(汽车34-35.3%+储能28-30%)与中金37%取中;利润率略高于公司整体(公司口径)</t>
  </si>
  <si>
    <t>行业假设 — AI/数据中心电感 (QPM 17_IND_AI电感 / S6a)</t>
  </si>
  <si>
    <t>NV机柜×颗数+TPU+ASP→行业金额带×顺络份额+钽电容→AI/DC线;含季度分配与新兴线GM路径</t>
  </si>
  <si>
    <t>NV等效机柜 NVL72 (万柜)</t>
  </si>
  <si>
    <t>MS-0527: 26E 7-8万取7.5;27-28E +50%/+36%(QPM DNA,数据缺口#1)</t>
  </si>
  <si>
    <t>NV单柜电感颗数 (代际混合)</t>
  </si>
  <si>
    <t>GB系~3000颗($2100-3500/柜)→VR200 ~6000-6500颗(总值平稳~+20%,专家口径;段子'+420%'已弃用)</t>
  </si>
  <si>
    <t>NV需求 (亿颗)</t>
  </si>
  <si>
    <t>谷歌TPU出货 (万颗)</t>
  </si>
  <si>
    <t>26E 330-460取430(DigiTimes/谷歌规划)</t>
  </si>
  <si>
    <t>TPU单芯片电感价值 ($)</t>
  </si>
  <si>
    <t>V5→V7跳变(62相/70-80颗/60%定制TLVR@$2,Acecamp0527;疑含模块价值,冲突已标)</t>
  </si>
  <si>
    <t>ASP参考</t>
  </si>
  <si>
    <t>芯片电感$0.7-0.8(Blackwell)→$0.3-0.4(Rubin,大陆导入压价);TLVR两相$1→四相$2;一体成型$0.4-0.5</t>
  </si>
  <si>
    <t>行业金额-下沿 (亿元)</t>
  </si>
  <si>
    <t>行业金额-上沿 (亿元)</t>
  </si>
  <si>
    <t>26保守锚30-40亿(国信:NV10亿+ASIC20亿);法B(1500万张计算卡×30颗)上沿~60亿;27-28外推</t>
  </si>
  <si>
    <t>行业金额中值 (亿元)</t>
  </si>
  <si>
    <t>顺络AI电感份额</t>
  </si>
  <si>
    <t>25A隐含15.6%;NV保守15%入模(60-70%口径疑为乾坤,不可入模)+国产算力TLVR一供独供+TLVR 8条线H2投产;QPM宽口径(含一体成型)份额20-25%</t>
  </si>
  <si>
    <t>顺络AI电感收入 (亿元)</t>
  </si>
  <si>
    <t>QPM S6a 9.5/14/17.5(含AI一体成型分配1.5亿);本线窄口径(纯DC电感)5.2/11.2/16.2;公司AI翻番目标=下限</t>
  </si>
  <si>
    <t>(+) 钽电容收入 (亿元)</t>
  </si>
  <si>
    <t>钽25A~0.9亿计入特种/消费线基数,2026E起增量计入本线</t>
  </si>
  <si>
    <t>AI/DC线合计 (亿元)</t>
  </si>
  <si>
    <t>2026季度权重 [B=Q2 C=Q3 D=Q4]</t>
  </si>
  <si>
    <t>Q2海外恢复提货+国内4月提拉;Q3 TLVR新线投产+苹果钽爬坡;Q4 VR200 ramp+钽涨价(QPM 11_Quarterly事件锚)</t>
  </si>
  <si>
    <t>2026季度收入 (百万) [B=Q1'26A C=Q2 D=Q3 E=Q4]</t>
  </si>
  <si>
    <t>2027季度权重 [B..E=Q1..Q4]</t>
  </si>
  <si>
    <t>2027季度收入 (百万)</t>
  </si>
  <si>
    <t>2028季度权重 [B..E=Q1..Q4]</t>
  </si>
  <si>
    <t>2028季度收入 (百万)</t>
  </si>
  <si>
    <t>新兴线(AIoT+AI/DC)混合毛利率路径 [B=Q2'26 C=Q3'26 D=Q4'26 E=2027E F=2028E]</t>
  </si>
  <si>
    <t>QPM S6混合GM 26E38.8/27E41.2/28E42.2(电感42-44%/钽33→42%/其他33-36%);Q2-Q4'26爬坡</t>
  </si>
  <si>
    <t>口径桥</t>
  </si>
  <si>
    <t>QPM S6另含'IDC其他/服务器电源'3.4/4.2/5.0亿与AI一体成型1.5亿分配,本模型该部分留在AIoT/大工业线→本线&lt;QPM S6;新兴线合计26E≈12.9亿 vs QPM S6 14.7 vs 中金新兴14.67,总量级勾稽一致;AIoT占比8%(FACT)与QPM残差口径冲突以FACT为准</t>
  </si>
  <si>
    <t>行业假设 — 钽电容 (QPM 18_IND_钽电容 / S6b)</t>
  </si>
  <si>
    <t>NV钽需求+AI/eSSD/消费TAM→总盘×顺络份额→钽收入(并入AI/DC线)</t>
  </si>
  <si>
    <t>NV单柜钽颗数</t>
  </si>
  <si>
    <t>GB200 3600-5000→GB300 5000(双专家一致)→VR 5000-7000;银河'180颗'为superchip口径勿混用</t>
  </si>
  <si>
    <t>NV单颗价 (元)</t>
  </si>
  <si>
    <t>Acecamp0331;高容化(470→680µF)抬均价;段子'7元/颗'与专家'2-3元'冲突,不采</t>
  </si>
  <si>
    <t>NV钽需求 (亿元)</t>
  </si>
  <si>
    <t>AI服务器钽TAM (亿元)</t>
  </si>
  <si>
    <t>中信:25A 8亿→27E 70亿+;26取20-30中值</t>
  </si>
  <si>
    <t>eSSD钽TAM (亿元)</t>
  </si>
  <si>
    <t>中信:27亿(25)→63亿(27);15-20颗/盘</t>
  </si>
  <si>
    <t>消费/工业钽 (亿元)</t>
  </si>
  <si>
    <t>钽行业总盘 (亿元)</t>
  </si>
  <si>
    <t>涨价时间线</t>
  </si>
  <si>
    <t>KEMET 25/6(&gt;10%)+25/11(20-30%)+26/4三轮,高端累计65%;松下26/2 +15-30%;顺络Q1已+10%、拟国庆后再+15-25%;缺口~30%/交期8-10月</t>
  </si>
  <si>
    <t>顺络份额 (总盘口径)</t>
  </si>
  <si>
    <t>渗透&lt;1%→2.6%(QPM):上行=份额故事;卖方SOTP隐含存储钽20%份额是关键裂口;海外四大占90%+基本不扩产</t>
  </si>
  <si>
    <t>顺络钽电容收入 (亿元)</t>
  </si>
  <si>
    <t>QPM S6b: 1.8/4.5/9.0亿;26E=在手订单1.5亿上沿+苹果6月批量;渠道专家基准1.5-2亿,苹果二供8-10亿为传闻仅入Bull</t>
  </si>
  <si>
    <t>进度</t>
  </si>
  <si>
    <t>苹果13规格/6已批量,26H2&lt;1亿;存储原厂全部对接验证完毕,26年底订单窗口;NV 8规格开发中27年有望批量;烧结炉×2(+50%)2026落地;量产know-how可靠性问题为最大风险</t>
  </si>
  <si>
    <t>行业假设 — 大工业与特种 (QPM 21_IND S4/S5)</t>
  </si>
  <si>
    <t>通信capex平稳+军工十五五恢复;驱动 Drivers!大工业/特种 YoY与毛利率</t>
  </si>
  <si>
    <t>大工业收入 (亿元)</t>
  </si>
  <si>
    <t>QPM S4: 通信capex平稳期持平微增(中金亦持平);AI服务器增量全在AI/DC线,避免重计</t>
  </si>
  <si>
    <t>适用季度YoY (→Drivers大工业行)</t>
  </si>
  <si>
    <t>大工业毛利率路径 [B=Q2'26 C=Q3'26 D=Q4'26 E=2027E F=2028E]</t>
  </si>
  <si>
    <t>QPM S4 GM 35.5%平稳</t>
  </si>
  <si>
    <t>特种(贵阳·军工)收入 (亿元)</t>
  </si>
  <si>
    <t>QPM S5: 2024谷底3.88(反腐/换届)已确认反转,十五五开局+20%/+15%/+12%(中金同);无公开backlog为数据缺口</t>
  </si>
  <si>
    <t>适用季度YoY (→Drivers特种行)</t>
  </si>
  <si>
    <t>特种毛利率路径 [B=Q2'26 C=Q3'26 D=Q4'26 E=2027E F=2028E]</t>
  </si>
  <si>
    <t>QPM S5 GM 47/47.5/48%;军工钽电容涨价周期助推;2022净利率峰值39.6%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</si>
</sst>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76" formatCode="#,##0.0;\(#,##0.0\);&quot;-&quot;"/>
    <numFmt numFmtId="177" formatCode="0.0%;\(0.0%\);&quot;-&quot;"/>
    <numFmt numFmtId="178" formatCode="#,##0&quot; d&quot;"/>
    <numFmt numFmtId="179" formatCode="#,##0;\(#,##0\);&quot;-&quot;"/>
    <numFmt numFmtId="180" formatCode="0.0&quot;x&quot;"/>
    <numFmt numFmtId="181" formatCode="0.00&quot;x&quot;"/>
    <numFmt numFmtId="182" formatCode="0.000"/>
  </numFmts>
  <fonts count="46">
    <font>
      <sz val="11"/>
      <color theme="1"/>
      <name val="宋体"/>
      <family val="2"/>
      <scheme val="minor"/>
    </font>
    <font>
      <b/>
      <sz val="13"/>
      <color rgb="FFFFFFFF"/>
      <name val="KaiTi"/>
      <family val="3"/>
      <charset val="134"/>
    </font>
    <font>
      <i/>
      <sz val="9"/>
      <color rgb="FF404040"/>
      <name val="KaiTi"/>
      <family val="3"/>
      <charset val="134"/>
    </font>
    <font>
      <i/>
      <sz val="9"/>
      <color rgb="FFC00000"/>
      <name val="KaiTi"/>
      <family val="3"/>
      <charset val="134"/>
    </font>
    <font>
      <b/>
      <sz val="11"/>
      <color rgb="FFFFFFFF"/>
      <name val="Times New Roman"/>
    </font>
    <font>
      <b/>
      <sz val="11"/>
      <color rgb="FF1F3864"/>
      <name val="KaiTi"/>
      <family val="3"/>
      <charset val="134"/>
    </font>
    <font>
      <b/>
      <sz val="11"/>
      <color rgb="FF000000"/>
      <name val="KaiTi"/>
      <family val="3"/>
      <charset val="134"/>
    </font>
    <font>
      <b/>
      <sz val="11"/>
      <color rgb="FF0000FF"/>
      <name val="Times New Roman"/>
    </font>
    <font>
      <b/>
      <sz val="11"/>
      <color rgb="FF000000"/>
      <name val="Times New Roman"/>
    </font>
    <font>
      <i/>
      <sz val="11"/>
      <color rgb="FF000000"/>
      <name val="KaiTi"/>
      <family val="3"/>
      <charset val="134"/>
    </font>
    <font>
      <i/>
      <sz val="11"/>
      <color rgb="FF000000"/>
      <name val="Times New Roman"/>
    </font>
    <font>
      <sz val="11"/>
      <color rgb="FF0000FF"/>
      <name val="Times New Roman"/>
    </font>
    <font>
      <sz val="11"/>
      <color rgb="FF000000"/>
      <name val="KaiTi"/>
      <family val="3"/>
      <charset val="134"/>
    </font>
    <font>
      <sz val="11"/>
      <color rgb="FF000000"/>
      <name val="Times New Roman"/>
    </font>
    <font>
      <i/>
      <sz val="11"/>
      <color rgb="FFC00000"/>
      <name val="KaiTi"/>
      <family val="3"/>
      <charset val="134"/>
    </font>
    <font>
      <i/>
      <sz val="11"/>
      <color rgb="FF0000FF"/>
      <name val="Times New Roman"/>
    </font>
    <font>
      <i/>
      <sz val="11"/>
      <color rgb="FF008000"/>
      <name val="Times New Roman"/>
    </font>
    <font>
      <sz val="11"/>
      <color rgb="FF008000"/>
      <name val="Times New Roman"/>
    </font>
    <font>
      <b/>
      <sz val="11"/>
      <color rgb="FF008000"/>
      <name val="Times New Roman"/>
    </font>
    <font>
      <i/>
      <sz val="9"/>
      <color rgb="FF808080"/>
      <name val="KaiTi"/>
      <family val="3"/>
      <charset val="134"/>
    </font>
    <font>
      <i/>
      <sz val="9"/>
      <color rgb="FF000000"/>
      <name val="KaiTi"/>
      <family val="3"/>
      <charset val="134"/>
    </font>
    <font>
      <i/>
      <sz val="9"/>
      <color rgb="FF008000"/>
      <name val="Times New Roman"/>
    </font>
    <font>
      <b/>
      <sz val="9"/>
      <color rgb="FF000000"/>
      <name val="KaiTi"/>
      <family val="3"/>
      <charset val="134"/>
    </font>
    <font>
      <sz val="9"/>
      <color rgb="FF808080"/>
      <name val="KaiTi"/>
      <family val="3"/>
      <charset val="134"/>
    </font>
    <font>
      <b/>
      <sz val="10"/>
      <color rgb="FFFFFFFF"/>
      <name val="KaiTi"/>
      <family val="3"/>
      <charset val="134"/>
    </font>
    <font>
      <sz val="10"/>
      <color rgb="FF000000"/>
      <name val="KaiTi"/>
      <family val="3"/>
      <charset val="134"/>
    </font>
    <font>
      <sz val="10"/>
      <color rgb="FF000000"/>
      <name val="Times New Roman"/>
    </font>
    <font>
      <sz val="10"/>
      <color rgb="FF0000FF"/>
      <name val="Times New Roman"/>
    </font>
    <font>
      <sz val="9"/>
      <color rgb="FF0000FF"/>
      <name val="Times New Roman"/>
    </font>
    <font>
      <sz val="9"/>
      <color rgb="FF0000FF"/>
      <name val="KaiTi"/>
      <family val="3"/>
      <charset val="134"/>
    </font>
    <font>
      <sz val="9"/>
      <color rgb="FF000000"/>
      <name val="KaiTi"/>
      <family val="3"/>
      <charset val="134"/>
    </font>
    <font>
      <b/>
      <sz val="10"/>
      <color rgb="FF000000"/>
      <name val="KaiTi"/>
      <family val="3"/>
      <charset val="134"/>
    </font>
    <font>
      <sz val="10"/>
      <color rgb="FF008000"/>
      <name val="Times New Roman"/>
    </font>
    <font>
      <b/>
      <sz val="12"/>
      <color rgb="FFFFFFFF"/>
      <name val="KaiTi"/>
      <family val="3"/>
      <charset val="134"/>
    </font>
    <font>
      <b/>
      <sz val="11"/>
      <color rgb="FFFFFFFF"/>
      <name val="KaiTi"/>
      <family val="3"/>
      <charset val="134"/>
    </font>
    <font>
      <sz val="9"/>
      <name val="宋体"/>
      <family val="3"/>
      <charset val="134"/>
      <scheme val="minor"/>
    </font>
    <font>
      <b/>
      <sz val="11"/>
      <color theme="0"/>
      <name val="Times New Roman"/>
      <family val="1"/>
    </font>
    <font>
      <b/>
      <i/>
      <u/>
      <sz val="9"/>
      <color rgb="FF808080"/>
      <name val="KaiTi"/>
      <family val="3"/>
      <charset val="134"/>
    </font>
    <font>
      <b/>
      <i/>
      <u/>
      <sz val="11"/>
      <color rgb="FF808080"/>
      <name val="Times New Roman"/>
      <family val="1"/>
    </font>
    <font>
      <b/>
      <sz val="12"/>
      <color rgb="FF000000"/>
      <name val="KaiTi"/>
      <family val="3"/>
      <charset val="134"/>
    </font>
    <font>
      <sz val="10"/>
      <color theme="1"/>
      <name val="宋体"/>
      <family val="2"/>
      <scheme val="minor"/>
    </font>
    <font>
      <b/>
      <sz val="10"/>
      <color rgb="FF1F3864"/>
      <name val="Arial"/>
      <family val="2"/>
    </font>
    <font>
      <i/>
      <sz val="10"/>
      <color rgb="FF808080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375623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FFFF00"/>
      </patternFill>
    </fill>
    <fill>
      <patternFill patternType="solid">
        <fgColor rgb="FF808080"/>
      </patternFill>
    </fill>
    <fill>
      <patternFill patternType="solid">
        <fgColor rgb="FFFCE4D6"/>
      </patternFill>
    </fill>
    <fill>
      <patternFill patternType="solid">
        <fgColor rgb="FF548235"/>
      </patternFill>
    </fill>
    <fill>
      <patternFill patternType="solid">
        <fgColor rgb="FFC00000"/>
      </patternFill>
    </fill>
    <fill>
      <patternFill patternType="solid">
        <fgColor theme="1" tint="0.2499465926084170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4" fillId="3" borderId="0" xfId="0" applyFont="1" applyFill="1"/>
    <xf numFmtId="0" fontId="5" fillId="4" borderId="0" xfId="0" applyFont="1" applyFill="1"/>
    <xf numFmtId="0" fontId="0" fillId="4" borderId="0" xfId="0" applyFill="1"/>
    <xf numFmtId="0" fontId="6" fillId="0" borderId="0" xfId="0" applyFont="1"/>
    <xf numFmtId="176" fontId="7" fillId="0" borderId="0" xfId="0" applyNumberFormat="1" applyFont="1"/>
    <xf numFmtId="176" fontId="8" fillId="0" borderId="0" xfId="0" applyNumberFormat="1" applyFont="1"/>
    <xf numFmtId="176" fontId="8" fillId="5" borderId="0" xfId="0" applyNumberFormat="1" applyFont="1" applyFill="1"/>
    <xf numFmtId="0" fontId="9" fillId="0" borderId="0" xfId="0" applyFont="1"/>
    <xf numFmtId="177" fontId="10" fillId="0" borderId="0" xfId="0" applyNumberFormat="1" applyFont="1"/>
    <xf numFmtId="177" fontId="11" fillId="6" borderId="0" xfId="0" applyNumberFormat="1" applyFont="1" applyFill="1"/>
    <xf numFmtId="177" fontId="10" fillId="5" borderId="0" xfId="0" applyNumberFormat="1" applyFont="1" applyFill="1"/>
    <xf numFmtId="0" fontId="12" fillId="0" borderId="0" xfId="0" applyFont="1"/>
    <xf numFmtId="176" fontId="11" fillId="0" borderId="0" xfId="0" applyNumberFormat="1" applyFont="1"/>
    <xf numFmtId="176" fontId="13" fillId="0" borderId="0" xfId="0" applyNumberFormat="1" applyFont="1"/>
    <xf numFmtId="176" fontId="13" fillId="5" borderId="0" xfId="0" applyNumberFormat="1" applyFont="1" applyFill="1"/>
    <xf numFmtId="176" fontId="11" fillId="6" borderId="0" xfId="0" applyNumberFormat="1" applyFont="1" applyFill="1"/>
    <xf numFmtId="0" fontId="14" fillId="0" borderId="0" xfId="0" applyFont="1"/>
    <xf numFmtId="176" fontId="10" fillId="0" borderId="0" xfId="0" applyNumberFormat="1" applyFont="1"/>
    <xf numFmtId="177" fontId="15" fillId="0" borderId="0" xfId="0" applyNumberFormat="1" applyFont="1"/>
    <xf numFmtId="177" fontId="16" fillId="0" borderId="0" xfId="0" applyNumberFormat="1" applyFont="1"/>
    <xf numFmtId="176" fontId="17" fillId="0" borderId="0" xfId="0" applyNumberFormat="1" applyFont="1"/>
    <xf numFmtId="178" fontId="16" fillId="0" borderId="0" xfId="0" applyNumberFormat="1" applyFont="1"/>
    <xf numFmtId="178" fontId="11" fillId="6" borderId="0" xfId="0" applyNumberFormat="1" applyFont="1" applyFill="1"/>
    <xf numFmtId="176" fontId="18" fillId="0" borderId="0" xfId="0" applyNumberFormat="1" applyFont="1"/>
    <xf numFmtId="2" fontId="11" fillId="0" borderId="0" xfId="0" applyNumberFormat="1" applyFont="1"/>
    <xf numFmtId="2" fontId="17" fillId="5" borderId="0" xfId="0" applyNumberFormat="1" applyFont="1" applyFill="1"/>
    <xf numFmtId="2" fontId="11" fillId="6" borderId="0" xfId="0" applyNumberFormat="1" applyFont="1" applyFill="1"/>
    <xf numFmtId="2" fontId="13" fillId="5" borderId="0" xfId="0" applyNumberFormat="1" applyFont="1" applyFill="1"/>
    <xf numFmtId="179" fontId="13" fillId="0" borderId="0" xfId="0" applyNumberFormat="1" applyFont="1"/>
    <xf numFmtId="179" fontId="13" fillId="5" borderId="0" xfId="0" applyNumberFormat="1" applyFont="1" applyFill="1"/>
    <xf numFmtId="179" fontId="17" fillId="0" borderId="0" xfId="0" applyNumberFormat="1" applyFont="1"/>
    <xf numFmtId="179" fontId="17" fillId="5" borderId="0" xfId="0" applyNumberFormat="1" applyFont="1" applyFill="1"/>
    <xf numFmtId="180" fontId="16" fillId="0" borderId="0" xfId="0" applyNumberFormat="1" applyFont="1"/>
    <xf numFmtId="180" fontId="16" fillId="5" borderId="0" xfId="0" applyNumberFormat="1" applyFont="1" applyFill="1"/>
    <xf numFmtId="177" fontId="13" fillId="0" borderId="0" xfId="0" applyNumberFormat="1" applyFont="1"/>
    <xf numFmtId="177" fontId="13" fillId="5" borderId="0" xfId="0" applyNumberFormat="1" applyFont="1" applyFill="1"/>
    <xf numFmtId="2" fontId="13" fillId="0" borderId="0" xfId="0" applyNumberFormat="1" applyFont="1"/>
    <xf numFmtId="176" fontId="17" fillId="5" borderId="0" xfId="0" applyNumberFormat="1" applyFont="1" applyFill="1"/>
    <xf numFmtId="176" fontId="10" fillId="5" borderId="0" xfId="0" applyNumberFormat="1" applyFont="1" applyFill="1"/>
    <xf numFmtId="0" fontId="19" fillId="0" borderId="0" xfId="0" applyFont="1"/>
    <xf numFmtId="0" fontId="24" fillId="3" borderId="0" xfId="0" applyFont="1" applyFill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180" fontId="27" fillId="0" borderId="0" xfId="0" applyNumberFormat="1" applyFont="1"/>
    <xf numFmtId="0" fontId="30" fillId="0" borderId="0" xfId="0" applyFont="1"/>
    <xf numFmtId="0" fontId="31" fillId="0" borderId="0" xfId="0" applyFont="1"/>
    <xf numFmtId="2" fontId="32" fillId="0" borderId="0" xfId="0" applyNumberFormat="1" applyFont="1"/>
    <xf numFmtId="180" fontId="32" fillId="0" borderId="0" xfId="0" applyNumberFormat="1" applyFont="1"/>
    <xf numFmtId="0" fontId="33" fillId="2" borderId="0" xfId="0" applyFont="1" applyFill="1"/>
    <xf numFmtId="0" fontId="34" fillId="3" borderId="0" xfId="0" applyFont="1" applyFill="1"/>
    <xf numFmtId="0" fontId="4" fillId="7" borderId="0" xfId="0" applyFont="1" applyFill="1"/>
    <xf numFmtId="3" fontId="11" fillId="0" borderId="0" xfId="0" applyNumberFormat="1" applyFont="1"/>
    <xf numFmtId="3" fontId="11" fillId="6" borderId="0" xfId="0" applyNumberFormat="1" applyFont="1" applyFill="1"/>
    <xf numFmtId="182" fontId="11" fillId="0" borderId="0" xfId="0" applyNumberFormat="1" applyFont="1"/>
    <xf numFmtId="182" fontId="11" fillId="6" borderId="0" xfId="0" applyNumberFormat="1" applyFont="1" applyFill="1"/>
    <xf numFmtId="177" fontId="18" fillId="0" borderId="0" xfId="0" applyNumberFormat="1" applyFont="1"/>
    <xf numFmtId="177" fontId="8" fillId="0" borderId="0" xfId="0" applyNumberFormat="1" applyFont="1"/>
    <xf numFmtId="177" fontId="15" fillId="6" borderId="0" xfId="0" applyNumberFormat="1" applyFont="1" applyFill="1"/>
    <xf numFmtId="179" fontId="11" fillId="6" borderId="0" xfId="0" applyNumberFormat="1" applyFont="1" applyFill="1"/>
    <xf numFmtId="179" fontId="11" fillId="0" borderId="0" xfId="0" applyNumberFormat="1" applyFont="1"/>
    <xf numFmtId="176" fontId="16" fillId="0" borderId="0" xfId="0" applyNumberFormat="1" applyFont="1"/>
    <xf numFmtId="179" fontId="8" fillId="0" borderId="0" xfId="0" applyNumberFormat="1" applyFont="1"/>
    <xf numFmtId="10" fontId="10" fillId="0" borderId="0" xfId="0" applyNumberFormat="1" applyFont="1"/>
    <xf numFmtId="10" fontId="11" fillId="6" borderId="0" xfId="0" applyNumberFormat="1" applyFont="1" applyFill="1"/>
    <xf numFmtId="0" fontId="0" fillId="0" borderId="0" xfId="0"/>
    <xf numFmtId="0" fontId="30" fillId="0" borderId="0" xfId="0" applyFont="1"/>
    <xf numFmtId="0" fontId="0" fillId="11" borderId="0" xfId="0" applyFill="1"/>
    <xf numFmtId="0" fontId="0" fillId="12" borderId="2" xfId="0" applyFill="1" applyBorder="1"/>
    <xf numFmtId="0" fontId="0" fillId="12" borderId="3" xfId="0" applyFill="1" applyBorder="1"/>
    <xf numFmtId="0" fontId="19" fillId="12" borderId="4" xfId="0" applyFont="1" applyFill="1" applyBorder="1"/>
    <xf numFmtId="0" fontId="0" fillId="12" borderId="0" xfId="0" applyFill="1" applyBorder="1"/>
    <xf numFmtId="0" fontId="0" fillId="12" borderId="5" xfId="0" applyFill="1" applyBorder="1"/>
    <xf numFmtId="0" fontId="0" fillId="12" borderId="4" xfId="0" applyFill="1" applyBorder="1"/>
    <xf numFmtId="0" fontId="12" fillId="12" borderId="4" xfId="0" applyFont="1" applyFill="1" applyBorder="1"/>
    <xf numFmtId="177" fontId="13" fillId="12" borderId="0" xfId="0" applyNumberFormat="1" applyFont="1" applyFill="1" applyBorder="1" applyAlignment="1">
      <alignment horizontal="center"/>
    </xf>
    <xf numFmtId="0" fontId="19" fillId="12" borderId="0" xfId="0" applyFont="1" applyFill="1" applyBorder="1"/>
    <xf numFmtId="0" fontId="9" fillId="12" borderId="4" xfId="0" applyFont="1" applyFill="1" applyBorder="1"/>
    <xf numFmtId="0" fontId="6" fillId="12" borderId="4" xfId="0" applyFont="1" applyFill="1" applyBorder="1"/>
    <xf numFmtId="176" fontId="8" fillId="12" borderId="0" xfId="0" applyNumberFormat="1" applyFont="1" applyFill="1" applyBorder="1" applyAlignment="1">
      <alignment horizontal="center"/>
    </xf>
    <xf numFmtId="176" fontId="18" fillId="12" borderId="0" xfId="0" applyNumberFormat="1" applyFont="1" applyFill="1" applyBorder="1" applyAlignment="1">
      <alignment horizontal="center"/>
    </xf>
    <xf numFmtId="179" fontId="8" fillId="12" borderId="0" xfId="0" applyNumberFormat="1" applyFont="1" applyFill="1" applyBorder="1" applyAlignment="1">
      <alignment horizontal="center"/>
    </xf>
    <xf numFmtId="176" fontId="17" fillId="12" borderId="0" xfId="0" applyNumberFormat="1" applyFont="1" applyFill="1" applyBorder="1" applyAlignment="1">
      <alignment horizontal="center"/>
    </xf>
    <xf numFmtId="2" fontId="8" fillId="12" borderId="0" xfId="0" applyNumberFormat="1" applyFont="1" applyFill="1" applyBorder="1" applyAlignment="1">
      <alignment horizontal="center"/>
    </xf>
    <xf numFmtId="2" fontId="17" fillId="12" borderId="0" xfId="0" applyNumberFormat="1" applyFont="1" applyFill="1" applyBorder="1" applyAlignment="1">
      <alignment horizontal="center"/>
    </xf>
    <xf numFmtId="177" fontId="8" fillId="12" borderId="0" xfId="0" applyNumberFormat="1" applyFont="1" applyFill="1" applyBorder="1" applyAlignment="1">
      <alignment horizontal="center"/>
    </xf>
    <xf numFmtId="0" fontId="20" fillId="12" borderId="4" xfId="0" applyFont="1" applyFill="1" applyBorder="1"/>
    <xf numFmtId="180" fontId="21" fillId="12" borderId="0" xfId="0" applyNumberFormat="1" applyFont="1" applyFill="1" applyBorder="1" applyAlignment="1">
      <alignment horizontal="center"/>
    </xf>
    <xf numFmtId="0" fontId="22" fillId="12" borderId="4" xfId="0" applyFont="1" applyFill="1" applyBorder="1"/>
    <xf numFmtId="0" fontId="23" fillId="12" borderId="4" xfId="0" applyFont="1" applyFill="1" applyBorder="1"/>
    <xf numFmtId="0" fontId="23" fillId="12" borderId="6" xfId="0" applyFont="1" applyFill="1" applyBorder="1"/>
    <xf numFmtId="0" fontId="0" fillId="12" borderId="7" xfId="0" applyFill="1" applyBorder="1"/>
    <xf numFmtId="0" fontId="0" fillId="12" borderId="8" xfId="0" applyFill="1" applyBorder="1"/>
    <xf numFmtId="0" fontId="36" fillId="13" borderId="0" xfId="0" applyFont="1" applyFill="1" applyBorder="1" applyAlignment="1">
      <alignment horizontal="center"/>
    </xf>
    <xf numFmtId="177" fontId="11" fillId="14" borderId="0" xfId="0" applyNumberFormat="1" applyFont="1" applyFill="1" applyBorder="1" applyAlignment="1">
      <alignment horizontal="center"/>
    </xf>
    <xf numFmtId="181" fontId="11" fillId="14" borderId="0" xfId="0" applyNumberFormat="1" applyFont="1" applyFill="1" applyBorder="1" applyAlignment="1">
      <alignment horizontal="center"/>
    </xf>
    <xf numFmtId="180" fontId="11" fillId="14" borderId="0" xfId="0" applyNumberFormat="1" applyFont="1" applyFill="1" applyBorder="1" applyAlignment="1">
      <alignment horizontal="center"/>
    </xf>
    <xf numFmtId="0" fontId="37" fillId="12" borderId="4" xfId="0" applyFont="1" applyFill="1" applyBorder="1"/>
    <xf numFmtId="177" fontId="38" fillId="12" borderId="0" xfId="0" applyNumberFormat="1" applyFont="1" applyFill="1" applyBorder="1" applyAlignment="1">
      <alignment horizontal="center"/>
    </xf>
    <xf numFmtId="0" fontId="39" fillId="12" borderId="1" xfId="0" applyFont="1" applyFill="1" applyBorder="1"/>
    <xf numFmtId="0" fontId="40" fillId="0" borderId="0" xfId="0" applyFont="1"/>
    <xf numFmtId="0" fontId="41" fillId="0" borderId="0" xfId="0" applyFont="1"/>
    <xf numFmtId="0" fontId="40" fillId="0" borderId="0" xfId="0" applyFont="1"/>
    <xf numFmtId="0" fontId="42" fillId="0" borderId="0" xfId="0" applyFont="1"/>
    <xf numFmtId="0" fontId="43" fillId="2" borderId="0" xfId="0" applyFont="1" applyFill="1"/>
    <xf numFmtId="0" fontId="44" fillId="8" borderId="0" xfId="0" applyFont="1" applyFill="1" applyAlignment="1">
      <alignment vertical="top" wrapText="1"/>
    </xf>
    <xf numFmtId="0" fontId="43" fillId="9" borderId="0" xfId="0" applyFont="1" applyFill="1"/>
    <xf numFmtId="0" fontId="45" fillId="0" borderId="0" xfId="0" applyFont="1" applyAlignment="1">
      <alignment vertical="top" wrapText="1"/>
    </xf>
    <xf numFmtId="0" fontId="43" fillId="10" borderId="0" xfId="0" applyFont="1" applyFill="1"/>
    <xf numFmtId="0" fontId="42" fillId="0" borderId="0" xfId="0" applyFont="1" applyAlignment="1">
      <alignment vertical="top" wrapText="1"/>
    </xf>
    <xf numFmtId="0" fontId="40" fillId="0" borderId="0" xfId="0" applyFont="1" applyAlignment="1">
      <alignment wrapText="1"/>
    </xf>
    <xf numFmtId="0" fontId="40" fillId="0" borderId="0" xfId="0" applyFont="1" applyAlignment="1">
      <alignment wrapText="1"/>
    </xf>
  </cellXfs>
  <cellStyles count="1">
    <cellStyle name="常规" xfId="0" builtinId="0"/>
  </cellStyles>
  <dxfs count="0"/>
  <tableStyles count="1" defaultTableStyle="TableStyleMedium9" defaultPivotStyle="PivotStyleLight16">
    <tableStyle name="Invisible" pivot="0" table="0" count="0" xr9:uid="{000881BF-FA16-46F2-A259-6CBFEB6567D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3864"/>
  </sheetPr>
  <dimension ref="A1:H26"/>
  <sheetViews>
    <sheetView showGridLines="0" tabSelected="1" topLeftCell="A5" workbookViewId="0">
      <selection activeCell="N7" sqref="N7"/>
    </sheetView>
  </sheetViews>
  <sheetFormatPr defaultRowHeight="13"/>
  <cols>
    <col min="1" max="1" width="14" style="108" customWidth="1"/>
    <col min="2" max="8" width="13" style="108" customWidth="1"/>
    <col min="9" max="16384" width="8.7265625" style="108"/>
  </cols>
  <sheetData>
    <row r="1" spans="1:8" ht="13.5">
      <c r="A1" s="109" t="s">
        <v>202</v>
      </c>
      <c r="B1" s="110"/>
      <c r="C1" s="110"/>
      <c r="D1" s="110"/>
      <c r="E1" s="110"/>
      <c r="F1" s="110"/>
      <c r="G1" s="110"/>
      <c r="H1" s="110"/>
    </row>
    <row r="2" spans="1:8" ht="13.5">
      <c r="A2" s="111" t="s">
        <v>203</v>
      </c>
      <c r="B2" s="110"/>
      <c r="C2" s="110"/>
      <c r="D2" s="110"/>
      <c r="E2" s="110"/>
      <c r="F2" s="110"/>
      <c r="G2" s="110"/>
      <c r="H2" s="110"/>
    </row>
    <row r="4" spans="1:8" ht="13.5">
      <c r="A4" s="112" t="s">
        <v>204</v>
      </c>
      <c r="B4" s="110"/>
      <c r="C4" s="110"/>
      <c r="D4" s="110"/>
      <c r="E4" s="110"/>
      <c r="F4" s="110"/>
      <c r="G4" s="110"/>
      <c r="H4" s="110"/>
    </row>
    <row r="5" spans="1:8" ht="98.5" customHeight="1">
      <c r="A5" s="113" t="s">
        <v>205</v>
      </c>
      <c r="B5" s="118"/>
      <c r="C5" s="118"/>
      <c r="D5" s="118"/>
      <c r="E5" s="118"/>
      <c r="F5" s="118"/>
      <c r="G5" s="118"/>
      <c r="H5" s="118"/>
    </row>
    <row r="7" spans="1:8" ht="13.5">
      <c r="A7" s="114" t="s">
        <v>206</v>
      </c>
      <c r="B7" s="110"/>
      <c r="C7" s="110"/>
      <c r="D7" s="110"/>
      <c r="E7" s="110"/>
      <c r="F7" s="110"/>
      <c r="G7" s="110"/>
      <c r="H7" s="110"/>
    </row>
    <row r="8" spans="1:8" s="119" customFormat="1" ht="44" customHeight="1">
      <c r="A8" s="115" t="s">
        <v>207</v>
      </c>
      <c r="B8" s="118"/>
      <c r="C8" s="118"/>
      <c r="D8" s="118"/>
      <c r="E8" s="118"/>
      <c r="F8" s="118"/>
      <c r="G8" s="118"/>
      <c r="H8" s="118"/>
    </row>
    <row r="9" spans="1:8" s="119" customFormat="1" ht="44" customHeight="1">
      <c r="A9" s="115" t="s">
        <v>208</v>
      </c>
      <c r="B9" s="118"/>
      <c r="C9" s="118"/>
      <c r="D9" s="118"/>
      <c r="E9" s="118"/>
      <c r="F9" s="118"/>
      <c r="G9" s="118"/>
      <c r="H9" s="118"/>
    </row>
    <row r="10" spans="1:8" s="119" customFormat="1" ht="44" customHeight="1">
      <c r="A10" s="115" t="s">
        <v>209</v>
      </c>
      <c r="B10" s="118"/>
      <c r="C10" s="118"/>
      <c r="D10" s="118"/>
      <c r="E10" s="118"/>
      <c r="F10" s="118"/>
      <c r="G10" s="118"/>
      <c r="H10" s="118"/>
    </row>
    <row r="11" spans="1:8" s="119" customFormat="1" ht="44" customHeight="1">
      <c r="A11" s="115" t="s">
        <v>210</v>
      </c>
      <c r="B11" s="118"/>
      <c r="C11" s="118"/>
      <c r="D11" s="118"/>
      <c r="E11" s="118"/>
      <c r="F11" s="118"/>
      <c r="G11" s="118"/>
      <c r="H11" s="118"/>
    </row>
    <row r="13" spans="1:8" ht="13.5">
      <c r="A13" s="116" t="s">
        <v>211</v>
      </c>
      <c r="B13" s="110"/>
      <c r="C13" s="110"/>
      <c r="D13" s="110"/>
      <c r="E13" s="110"/>
      <c r="F13" s="110"/>
      <c r="G13" s="110"/>
      <c r="H13" s="110"/>
    </row>
    <row r="14" spans="1:8" s="119" customFormat="1" ht="44.5" customHeight="1">
      <c r="A14" s="115" t="s">
        <v>212</v>
      </c>
      <c r="B14" s="118"/>
      <c r="C14" s="118"/>
      <c r="D14" s="118"/>
      <c r="E14" s="118"/>
      <c r="F14" s="118"/>
      <c r="G14" s="118"/>
      <c r="H14" s="118"/>
    </row>
    <row r="15" spans="1:8" s="119" customFormat="1" ht="44.5" customHeight="1">
      <c r="A15" s="115" t="s">
        <v>213</v>
      </c>
      <c r="B15" s="118"/>
      <c r="C15" s="118"/>
      <c r="D15" s="118"/>
      <c r="E15" s="118"/>
      <c r="F15" s="118"/>
      <c r="G15" s="118"/>
      <c r="H15" s="118"/>
    </row>
    <row r="16" spans="1:8" s="119" customFormat="1" ht="44.5" customHeight="1">
      <c r="A16" s="115" t="s">
        <v>214</v>
      </c>
      <c r="B16" s="118"/>
      <c r="C16" s="118"/>
      <c r="D16" s="118"/>
      <c r="E16" s="118"/>
      <c r="F16" s="118"/>
      <c r="G16" s="118"/>
      <c r="H16" s="118"/>
    </row>
    <row r="17" spans="1:8" s="119" customFormat="1" ht="44.5" customHeight="1">
      <c r="A17" s="115" t="s">
        <v>215</v>
      </c>
      <c r="B17" s="118"/>
      <c r="C17" s="118"/>
      <c r="D17" s="118"/>
      <c r="E17" s="118"/>
      <c r="F17" s="118"/>
      <c r="G17" s="118"/>
      <c r="H17" s="118"/>
    </row>
    <row r="19" spans="1:8" ht="13.5">
      <c r="A19" s="112" t="s">
        <v>216</v>
      </c>
      <c r="B19" s="110"/>
      <c r="C19" s="110"/>
      <c r="D19" s="110"/>
      <c r="E19" s="110"/>
      <c r="F19" s="110"/>
      <c r="G19" s="110"/>
      <c r="H19" s="110"/>
    </row>
    <row r="20" spans="1:8" ht="63.5" customHeight="1">
      <c r="A20" s="115" t="s">
        <v>217</v>
      </c>
      <c r="B20" s="110"/>
      <c r="C20" s="110"/>
      <c r="D20" s="110"/>
      <c r="E20" s="110"/>
      <c r="F20" s="110"/>
      <c r="G20" s="110"/>
      <c r="H20" s="110"/>
    </row>
    <row r="21" spans="1:8" ht="63.5" customHeight="1">
      <c r="A21" s="115" t="s">
        <v>218</v>
      </c>
      <c r="B21" s="110"/>
      <c r="C21" s="110"/>
      <c r="D21" s="110"/>
      <c r="E21" s="110"/>
      <c r="F21" s="110"/>
      <c r="G21" s="110"/>
      <c r="H21" s="110"/>
    </row>
    <row r="22" spans="1:8" ht="63.5" customHeight="1">
      <c r="A22" s="115" t="s">
        <v>219</v>
      </c>
      <c r="B22" s="110"/>
      <c r="C22" s="110"/>
      <c r="D22" s="110"/>
      <c r="E22" s="110"/>
      <c r="F22" s="110"/>
      <c r="G22" s="110"/>
      <c r="H22" s="110"/>
    </row>
    <row r="23" spans="1:8" ht="63.5" customHeight="1">
      <c r="A23" s="115" t="s">
        <v>220</v>
      </c>
      <c r="B23" s="110"/>
      <c r="C23" s="110"/>
      <c r="D23" s="110"/>
      <c r="E23" s="110"/>
      <c r="F23" s="110"/>
      <c r="G23" s="110"/>
      <c r="H23" s="110"/>
    </row>
    <row r="24" spans="1:8" ht="63.5" customHeight="1">
      <c r="A24" s="115" t="s">
        <v>221</v>
      </c>
      <c r="B24" s="110"/>
      <c r="C24" s="110"/>
      <c r="D24" s="110"/>
      <c r="E24" s="110"/>
      <c r="F24" s="110"/>
      <c r="G24" s="110"/>
      <c r="H24" s="110"/>
    </row>
    <row r="26" spans="1:8">
      <c r="A26" s="117" t="s">
        <v>222</v>
      </c>
      <c r="B26" s="110"/>
      <c r="C26" s="110"/>
      <c r="D26" s="110"/>
      <c r="E26" s="110"/>
      <c r="F26" s="110"/>
      <c r="G26" s="110"/>
      <c r="H26" s="110"/>
    </row>
  </sheetData>
  <mergeCells count="21">
    <mergeCell ref="A26:H26"/>
    <mergeCell ref="A21:H21"/>
    <mergeCell ref="A2:H2"/>
    <mergeCell ref="A14:H14"/>
    <mergeCell ref="A5:H5"/>
    <mergeCell ref="A23:H23"/>
    <mergeCell ref="A8:H8"/>
    <mergeCell ref="A22:H22"/>
    <mergeCell ref="A17:H17"/>
    <mergeCell ref="A4:H4"/>
    <mergeCell ref="A20:H20"/>
    <mergeCell ref="A10:H10"/>
    <mergeCell ref="A13:H13"/>
    <mergeCell ref="A19:H19"/>
    <mergeCell ref="A9:H9"/>
    <mergeCell ref="A15:H15"/>
    <mergeCell ref="A24:H24"/>
    <mergeCell ref="A11:H11"/>
    <mergeCell ref="A1:H1"/>
    <mergeCell ref="A7:H7"/>
    <mergeCell ref="A16:H16"/>
  </mergeCells>
  <phoneticPr fontId="3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X69"/>
  <sheetViews>
    <sheetView showGridLines="0" workbookViewId="0">
      <pane xSplit="1" ySplit="5" topLeftCell="B41" activePane="bottomRight" state="frozen"/>
      <selection activeCell="AB50" sqref="AB50"/>
      <selection pane="topRight" activeCell="AB50" sqref="AB50"/>
      <selection pane="bottomLeft" activeCell="AB50" sqref="AB50"/>
      <selection pane="bottomRight" activeCell="AB50" sqref="AB50"/>
    </sheetView>
  </sheetViews>
  <sheetFormatPr defaultRowHeight="14" outlineLevelCol="1"/>
  <cols>
    <col min="1" max="1" width="42" customWidth="1"/>
    <col min="2" max="3" width="10.453125" customWidth="1"/>
    <col min="4" max="7" width="10.453125" hidden="1" customWidth="1" outlineLevel="1"/>
    <col min="8" max="8" width="10.453125" customWidth="1" collapsed="1"/>
    <col min="9" max="12" width="10.453125" hidden="1" customWidth="1" outlineLevel="1"/>
    <col min="13" max="13" width="10.453125" customWidth="1" collapsed="1"/>
    <col min="14" max="17" width="10.453125" hidden="1" customWidth="1" outlineLevel="1"/>
    <col min="18" max="18" width="10.453125" customWidth="1" collapsed="1"/>
    <col min="19" max="22" width="10.453125" hidden="1" customWidth="1" outlineLevel="1"/>
    <col min="23" max="23" width="10.453125" customWidth="1" collapsed="1"/>
  </cols>
  <sheetData>
    <row r="1" spans="1:24" ht="16.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>
      <c r="A2" s="3" t="s">
        <v>1</v>
      </c>
    </row>
    <row r="3" spans="1:24">
      <c r="A3" s="4" t="s">
        <v>2</v>
      </c>
    </row>
    <row r="5" spans="1:24" ht="14.5">
      <c r="A5" s="2"/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6" t="s">
        <v>14</v>
      </c>
      <c r="N5" s="5" t="s">
        <v>15</v>
      </c>
      <c r="O5" s="5" t="s">
        <v>16</v>
      </c>
      <c r="P5" s="5" t="s">
        <v>17</v>
      </c>
      <c r="Q5" s="5" t="s">
        <v>18</v>
      </c>
      <c r="R5" s="6" t="s">
        <v>19</v>
      </c>
      <c r="S5" s="5" t="s">
        <v>20</v>
      </c>
      <c r="T5" s="5" t="s">
        <v>21</v>
      </c>
      <c r="U5" s="5" t="s">
        <v>22</v>
      </c>
      <c r="V5" s="5" t="s">
        <v>23</v>
      </c>
      <c r="W5" s="6" t="s">
        <v>24</v>
      </c>
    </row>
    <row r="6" spans="1:24">
      <c r="A6" s="7" t="s">
        <v>25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 spans="1:24" ht="14.5">
      <c r="A7" s="9" t="s">
        <v>26</v>
      </c>
      <c r="B7" s="10">
        <v>1713.74</v>
      </c>
      <c r="C7" s="10">
        <v>2005.08</v>
      </c>
      <c r="D7" s="10">
        <v>423.61</v>
      </c>
      <c r="E7" s="10">
        <v>511.41</v>
      </c>
      <c r="F7" s="10">
        <v>524.27</v>
      </c>
      <c r="G7" s="10">
        <v>525.74</v>
      </c>
      <c r="H7" s="10">
        <v>1985.03</v>
      </c>
      <c r="I7" s="11">
        <f>D7*(1+I8)</f>
        <v>423.61</v>
      </c>
      <c r="J7" s="11">
        <f>E7*(1+J8)</f>
        <v>521.61989114075641</v>
      </c>
      <c r="K7" s="11">
        <f>F7*(1+K8)</f>
        <v>534.7366307431696</v>
      </c>
      <c r="L7" s="11">
        <f>G7*(1+L8)</f>
        <v>536.23597811607374</v>
      </c>
      <c r="M7" s="12">
        <f>SUM(I7:L7)</f>
        <v>2016.2024999999996</v>
      </c>
      <c r="N7" s="11">
        <f>I7*(1+N8)</f>
        <v>429.59675534305717</v>
      </c>
      <c r="O7" s="11">
        <f>J7*(1+O8)</f>
        <v>528.99179140357319</v>
      </c>
      <c r="P7" s="11">
        <f>K7*(1+P8)</f>
        <v>542.29390602286094</v>
      </c>
      <c r="Q7" s="11">
        <f>L7*(1+Q8)</f>
        <v>543.81444323050891</v>
      </c>
      <c r="R7" s="12">
        <f>SUM(N7:Q7)</f>
        <v>2044.6968960000002</v>
      </c>
      <c r="S7" s="11">
        <f>N7*(1+S8)</f>
        <v>433.43643465479295</v>
      </c>
      <c r="T7" s="11">
        <f>O7*(1+T8)</f>
        <v>533.71985047820078</v>
      </c>
      <c r="U7" s="11">
        <f>P7*(1+U8)</f>
        <v>547.14085764886556</v>
      </c>
      <c r="V7" s="11">
        <f>Q7*(1+V8)</f>
        <v>548.67498521814059</v>
      </c>
      <c r="W7" s="12">
        <f>SUM(S7:V7)</f>
        <v>2062.9721279999999</v>
      </c>
    </row>
    <row r="8" spans="1:24" ht="14.5">
      <c r="A8" s="13" t="s">
        <v>27</v>
      </c>
      <c r="C8" s="14">
        <f>C7/B7-1</f>
        <v>0.17000245078016496</v>
      </c>
      <c r="H8" s="14">
        <f>H7/C7-1</f>
        <v>-9.9996010134258961E-3</v>
      </c>
      <c r="I8" s="15">
        <v>0</v>
      </c>
      <c r="J8" s="14">
        <f>业务1_手机电感!$D$12</f>
        <v>1.9964199254524528E-2</v>
      </c>
      <c r="K8" s="14">
        <f>业务1_手机电感!$D$12</f>
        <v>1.9964199254524528E-2</v>
      </c>
      <c r="L8" s="14">
        <f>业务1_手机电感!$D$12</f>
        <v>1.9964199254524528E-2</v>
      </c>
      <c r="M8" s="16">
        <f>M7/H7-1</f>
        <v>1.5703792889779855E-2</v>
      </c>
      <c r="N8" s="14">
        <f>业务1_手机电感!$E$12</f>
        <v>1.413270542021472E-2</v>
      </c>
      <c r="O8" s="14">
        <f>业务1_手机电感!$E$12</f>
        <v>1.413270542021472E-2</v>
      </c>
      <c r="P8" s="14">
        <f>业务1_手机电感!$E$12</f>
        <v>1.413270542021472E-2</v>
      </c>
      <c r="Q8" s="14">
        <f>业务1_手机电感!$E$12</f>
        <v>1.413270542021472E-2</v>
      </c>
      <c r="R8" s="16">
        <f>R7/M7-1</f>
        <v>1.413270542021472E-2</v>
      </c>
      <c r="S8" s="14">
        <f>业务1_手机电感!$F$12</f>
        <v>8.9378685103651545E-3</v>
      </c>
      <c r="T8" s="14">
        <f>业务1_手机电感!$F$12</f>
        <v>8.9378685103651545E-3</v>
      </c>
      <c r="U8" s="14">
        <f>业务1_手机电感!$F$12</f>
        <v>8.9378685103651545E-3</v>
      </c>
      <c r="V8" s="14">
        <f>业务1_手机电感!$F$12</f>
        <v>8.9378685103651545E-3</v>
      </c>
      <c r="W8" s="16">
        <f>W7/R7-1</f>
        <v>8.9378685103651545E-3</v>
      </c>
    </row>
    <row r="9" spans="1:24" ht="14.5">
      <c r="A9" s="9" t="s">
        <v>28</v>
      </c>
      <c r="B9" s="10">
        <v>1234.9000000000001</v>
      </c>
      <c r="C9" s="10">
        <v>1506.58</v>
      </c>
      <c r="D9" s="10">
        <v>357.88</v>
      </c>
      <c r="E9" s="10">
        <v>415.93</v>
      </c>
      <c r="F9" s="10">
        <v>383.56</v>
      </c>
      <c r="G9" s="10">
        <v>334.15</v>
      </c>
      <c r="H9" s="10">
        <v>1491.52</v>
      </c>
      <c r="I9" s="11">
        <f>D9*(1+I10)</f>
        <v>390.08920000000001</v>
      </c>
      <c r="J9" s="11">
        <f>E9*(1+J10)</f>
        <v>430.21729309480975</v>
      </c>
      <c r="K9" s="11">
        <f>F9*(1+K10)</f>
        <v>396.73537599943558</v>
      </c>
      <c r="L9" s="11">
        <f>G9*(1+L10)</f>
        <v>345.62813090575497</v>
      </c>
      <c r="M9" s="12">
        <f>SUM(I9:L9)</f>
        <v>1562.6700000000003</v>
      </c>
      <c r="N9" s="11">
        <f>I9*(1+N10)</f>
        <v>409.1634228186374</v>
      </c>
      <c r="O9" s="11">
        <f>J9*(1+O10)</f>
        <v>451.2536624916591</v>
      </c>
      <c r="P9" s="11">
        <f>K9*(1+P10)</f>
        <v>416.13457741759618</v>
      </c>
      <c r="Q9" s="11">
        <f>L9*(1+Q10)</f>
        <v>362.52833727210799</v>
      </c>
      <c r="R9" s="12">
        <f>SUM(N9:Q9)</f>
        <v>1639.0800000000006</v>
      </c>
      <c r="S9" s="11">
        <f>N9*(1+S10)</f>
        <v>424.72310587724854</v>
      </c>
      <c r="T9" s="11">
        <f>O9*(1+T10)</f>
        <v>468.41395487321921</v>
      </c>
      <c r="U9" s="11">
        <f>P9*(1+U10)</f>
        <v>431.95935982297976</v>
      </c>
      <c r="V9" s="11">
        <f>Q9*(1+V10)</f>
        <v>376.314579426553</v>
      </c>
      <c r="W9" s="12">
        <f>SUM(S9:V9)</f>
        <v>1701.4110000000005</v>
      </c>
    </row>
    <row r="10" spans="1:24" ht="14.5">
      <c r="A10" s="13" t="s">
        <v>27</v>
      </c>
      <c r="C10" s="14">
        <f>C9/B9-1</f>
        <v>0.22000161956433706</v>
      </c>
      <c r="H10" s="14">
        <f>H9/C9-1</f>
        <v>-9.9961502210303976E-3</v>
      </c>
      <c r="I10" s="15">
        <v>0.09</v>
      </c>
      <c r="J10" s="14">
        <f>业务2_消费AIoT!$D$8</f>
        <v>3.4350234642391175E-2</v>
      </c>
      <c r="K10" s="14">
        <f>业务2_消费AIoT!$D$8</f>
        <v>3.4350234642391175E-2</v>
      </c>
      <c r="L10" s="14">
        <f>业务2_消费AIoT!$D$8</f>
        <v>3.4350234642391175E-2</v>
      </c>
      <c r="M10" s="16">
        <f>M9/H9-1</f>
        <v>4.7703014374598007E-2</v>
      </c>
      <c r="N10" s="14">
        <f>业务2_消费AIoT!$E$8</f>
        <v>4.8897079997696435E-2</v>
      </c>
      <c r="O10" s="14">
        <f>业务2_消费AIoT!$E$8</f>
        <v>4.8897079997696435E-2</v>
      </c>
      <c r="P10" s="14">
        <f>业务2_消费AIoT!$E$8</f>
        <v>4.8897079997696435E-2</v>
      </c>
      <c r="Q10" s="14">
        <f>业务2_消费AIoT!$E$8</f>
        <v>4.8897079997696435E-2</v>
      </c>
      <c r="R10" s="16">
        <f>R9/M9-1</f>
        <v>4.8897079997696435E-2</v>
      </c>
      <c r="S10" s="14">
        <f>业务2_消费AIoT!$F$8</f>
        <v>3.8028040120067219E-2</v>
      </c>
      <c r="T10" s="14">
        <f>业务2_消费AIoT!$F$8</f>
        <v>3.8028040120067219E-2</v>
      </c>
      <c r="U10" s="14">
        <f>业务2_消费AIoT!$F$8</f>
        <v>3.8028040120067219E-2</v>
      </c>
      <c r="V10" s="14">
        <f>业务2_消费AIoT!$F$8</f>
        <v>3.8028040120067219E-2</v>
      </c>
      <c r="W10" s="16">
        <f>W9/R9-1</f>
        <v>3.8028040120067219E-2</v>
      </c>
    </row>
    <row r="11" spans="1:24" ht="14.5">
      <c r="A11" s="9" t="s">
        <v>29</v>
      </c>
      <c r="B11" s="10">
        <v>681.17</v>
      </c>
      <c r="C11" s="10">
        <v>1104.1600000000001</v>
      </c>
      <c r="D11" s="10">
        <v>314.39999999999998</v>
      </c>
      <c r="E11" s="10">
        <v>326.97000000000003</v>
      </c>
      <c r="F11" s="10">
        <v>412.44</v>
      </c>
      <c r="G11" s="10">
        <v>471</v>
      </c>
      <c r="H11" s="10">
        <v>1524.81</v>
      </c>
      <c r="I11" s="11">
        <f>D11*(1+I12)</f>
        <v>393.94319999999999</v>
      </c>
      <c r="J11" s="11">
        <f>E11*(1+J12)</f>
        <v>424.66223171983046</v>
      </c>
      <c r="K11" s="11">
        <f>F11*(1+K12)</f>
        <v>535.66899364017149</v>
      </c>
      <c r="L11" s="11">
        <f>G11*(1+L12)</f>
        <v>611.72557463999794</v>
      </c>
      <c r="M11" s="12">
        <f>SUM(I11:L11)</f>
        <v>1966</v>
      </c>
      <c r="N11" s="11">
        <f>I11*(1+N12)</f>
        <v>507.4673708850458</v>
      </c>
      <c r="O11" s="11">
        <f>J11*(1+O12)</f>
        <v>547.0388275391947</v>
      </c>
      <c r="P11" s="11">
        <f>K11*(1+P12)</f>
        <v>690.03484732625452</v>
      </c>
      <c r="Q11" s="11">
        <f>L11*(1+Q12)</f>
        <v>788.008954249505</v>
      </c>
      <c r="R11" s="12">
        <f>SUM(N11:Q11)</f>
        <v>2532.5500000000002</v>
      </c>
      <c r="S11" s="11">
        <f>N11*(1+S12)</f>
        <v>631.45127475076299</v>
      </c>
      <c r="T11" s="11">
        <f>O11*(1+T12)</f>
        <v>680.69078881927874</v>
      </c>
      <c r="U11" s="11">
        <f>P11*(1+U12)</f>
        <v>858.62344845283451</v>
      </c>
      <c r="V11" s="11">
        <f>Q11*(1+V12)</f>
        <v>980.53448797712394</v>
      </c>
      <c r="W11" s="12">
        <f>SUM(S11:V11)</f>
        <v>3151.3</v>
      </c>
    </row>
    <row r="12" spans="1:24" ht="14.5">
      <c r="A12" s="13" t="s">
        <v>27</v>
      </c>
      <c r="C12" s="14">
        <f>C11/B11-1</f>
        <v>0.62097567420761357</v>
      </c>
      <c r="H12" s="14">
        <f>H11/C11-1</f>
        <v>0.3809683379220401</v>
      </c>
      <c r="I12" s="15">
        <v>0.253</v>
      </c>
      <c r="J12" s="14">
        <f>业务3_汽车储能!$D$15</f>
        <v>0.29878041324840332</v>
      </c>
      <c r="K12" s="14">
        <f>业务3_汽车储能!$D$15</f>
        <v>0.29878041324840332</v>
      </c>
      <c r="L12" s="14">
        <f>业务3_汽车储能!$D$15</f>
        <v>0.29878041324840332</v>
      </c>
      <c r="M12" s="16">
        <f>M11/H11-1</f>
        <v>0.28934096707130719</v>
      </c>
      <c r="N12" s="14">
        <f>业务3_汽车储能!$E$15</f>
        <v>0.28817395727365214</v>
      </c>
      <c r="O12" s="14">
        <f>业务3_汽车储能!$E$15</f>
        <v>0.28817395727365214</v>
      </c>
      <c r="P12" s="14">
        <f>业务3_汽车储能!$E$15</f>
        <v>0.28817395727365214</v>
      </c>
      <c r="Q12" s="14">
        <f>业务3_汽车储能!$E$15</f>
        <v>0.28817395727365214</v>
      </c>
      <c r="R12" s="16">
        <f>R11/M11-1</f>
        <v>0.28817395727365214</v>
      </c>
      <c r="S12" s="14">
        <f>业务3_汽车储能!$F$15</f>
        <v>0.24431896704902178</v>
      </c>
      <c r="T12" s="14">
        <f>业务3_汽车储能!$F$15</f>
        <v>0.24431896704902178</v>
      </c>
      <c r="U12" s="14">
        <f>业务3_汽车储能!$F$15</f>
        <v>0.24431896704902178</v>
      </c>
      <c r="V12" s="14">
        <f>业务3_汽车储能!$F$15</f>
        <v>0.24431896704902178</v>
      </c>
      <c r="W12" s="16">
        <f>W11/R11-1</f>
        <v>0.24431896704902178</v>
      </c>
    </row>
    <row r="13" spans="1:24" ht="14.5">
      <c r="A13" s="17" t="s">
        <v>30</v>
      </c>
      <c r="B13" s="18">
        <v>504.04</v>
      </c>
      <c r="C13" s="18">
        <v>504.04</v>
      </c>
      <c r="D13" s="18">
        <v>116.86</v>
      </c>
      <c r="E13" s="18">
        <v>141.08000000000001</v>
      </c>
      <c r="F13" s="18">
        <v>144.62</v>
      </c>
      <c r="G13" s="18">
        <v>101.48</v>
      </c>
      <c r="H13" s="18">
        <v>504.04</v>
      </c>
      <c r="I13" s="19">
        <f>D13*(1+I14)</f>
        <v>122.00184</v>
      </c>
      <c r="J13" s="19">
        <f>E13*(1+J14)</f>
        <v>141.37811977064928</v>
      </c>
      <c r="K13" s="19">
        <f>F13*(1+K14)</f>
        <v>144.92560023554933</v>
      </c>
      <c r="L13" s="19">
        <f>G13*(1+L14)</f>
        <v>101.69443999380131</v>
      </c>
      <c r="M13" s="20">
        <f>SUM(I13:L13)</f>
        <v>509.99999999999994</v>
      </c>
      <c r="N13" s="19">
        <f>I13*(1+N14)</f>
        <v>124.39403294117649</v>
      </c>
      <c r="O13" s="19">
        <f>J13*(1+O14)</f>
        <v>144.15023976615223</v>
      </c>
      <c r="P13" s="19">
        <f>K13*(1+P14)</f>
        <v>147.76727867154051</v>
      </c>
      <c r="Q13" s="19">
        <f>L13*(1+Q14)</f>
        <v>103.68844862113076</v>
      </c>
      <c r="R13" s="20">
        <f>SUM(N13:Q13)</f>
        <v>520</v>
      </c>
      <c r="S13" s="19">
        <f>N13*(1+S14)</f>
        <v>126.78622588235295</v>
      </c>
      <c r="T13" s="19">
        <f>O13*(1+T14)</f>
        <v>146.92235976165514</v>
      </c>
      <c r="U13" s="19">
        <f>P13*(1+U14)</f>
        <v>150.60895710753167</v>
      </c>
      <c r="V13" s="19">
        <f>Q13*(1+V14)</f>
        <v>105.6824572484602</v>
      </c>
      <c r="W13" s="20">
        <f>SUM(S13:V13)</f>
        <v>530</v>
      </c>
    </row>
    <row r="14" spans="1:24" ht="14.5">
      <c r="A14" s="13" t="s">
        <v>27</v>
      </c>
      <c r="C14" s="14">
        <f>C13/B13-1</f>
        <v>0</v>
      </c>
      <c r="H14" s="14">
        <f>H13/C13-1</f>
        <v>0</v>
      </c>
      <c r="I14" s="15">
        <v>4.3999999999999997E-2</v>
      </c>
      <c r="J14" s="14">
        <f>其他业务!$D$5</f>
        <v>2.1131256779789442E-3</v>
      </c>
      <c r="K14" s="14">
        <f>其他业务!$D$5</f>
        <v>2.1131256779789442E-3</v>
      </c>
      <c r="L14" s="14">
        <f>其他业务!$D$5</f>
        <v>2.1131256779789442E-3</v>
      </c>
      <c r="M14" s="16">
        <f>M13/H13-1</f>
        <v>1.182445837631918E-2</v>
      </c>
      <c r="N14" s="14">
        <f>其他业务!$E$5</f>
        <v>1.9607843137255054E-2</v>
      </c>
      <c r="O14" s="14">
        <f>其他业务!$E$5</f>
        <v>1.9607843137255054E-2</v>
      </c>
      <c r="P14" s="14">
        <f>其他业务!$E$5</f>
        <v>1.9607843137255054E-2</v>
      </c>
      <c r="Q14" s="14">
        <f>其他业务!$E$5</f>
        <v>1.9607843137255054E-2</v>
      </c>
      <c r="R14" s="16">
        <f>R13/M13-1</f>
        <v>1.9607843137255054E-2</v>
      </c>
      <c r="S14" s="14">
        <f>其他业务!$F$5</f>
        <v>1.9230769230769162E-2</v>
      </c>
      <c r="T14" s="14">
        <f>其他业务!$F$5</f>
        <v>1.9230769230769162E-2</v>
      </c>
      <c r="U14" s="14">
        <f>其他业务!$F$5</f>
        <v>1.9230769230769162E-2</v>
      </c>
      <c r="V14" s="14">
        <f>其他业务!$F$5</f>
        <v>1.9230769230769162E-2</v>
      </c>
      <c r="W14" s="16">
        <f>W13/R13-1</f>
        <v>1.9230769230769162E-2</v>
      </c>
    </row>
    <row r="15" spans="1:24" ht="14.5">
      <c r="A15" s="17" t="s">
        <v>31</v>
      </c>
      <c r="B15" s="18">
        <v>554.45000000000005</v>
      </c>
      <c r="C15" s="18">
        <v>388.11</v>
      </c>
      <c r="D15" s="18">
        <v>102.25</v>
      </c>
      <c r="E15" s="18">
        <v>187.93</v>
      </c>
      <c r="F15" s="18">
        <v>112.38</v>
      </c>
      <c r="G15" s="18">
        <v>103.93</v>
      </c>
      <c r="H15" s="18">
        <v>506.49</v>
      </c>
      <c r="I15" s="19">
        <f>D15*(1+I16)</f>
        <v>162.63884999999999</v>
      </c>
      <c r="J15" s="19">
        <f>E15*(1+J16)</f>
        <v>206.58220591603998</v>
      </c>
      <c r="K15" s="19">
        <f>F15*(1+K16)</f>
        <v>123.53380674104491</v>
      </c>
      <c r="L15" s="19">
        <f>G15*(1+L16)</f>
        <v>114.24513734291511</v>
      </c>
      <c r="M15" s="20">
        <f>SUM(I15:L15)</f>
        <v>607</v>
      </c>
      <c r="N15" s="19">
        <f>I15*(1+N16)</f>
        <v>187.0212805601318</v>
      </c>
      <c r="O15" s="19">
        <f>J15*(1+O16)</f>
        <v>237.552520147275</v>
      </c>
      <c r="P15" s="19">
        <f>K15*(1+P16)</f>
        <v>142.05370198558379</v>
      </c>
      <c r="Q15" s="19">
        <f>L15*(1+Q16)</f>
        <v>131.3724973070095</v>
      </c>
      <c r="R15" s="20">
        <f>SUM(N15:Q15)</f>
        <v>698</v>
      </c>
      <c r="S15" s="19">
        <f>N15*(1+S16)</f>
        <v>209.52813953871498</v>
      </c>
      <c r="T15" s="19">
        <f>O15*(1+T16)</f>
        <v>266.14050251456882</v>
      </c>
      <c r="U15" s="19">
        <f>P15*(1+U16)</f>
        <v>159.14898990361965</v>
      </c>
      <c r="V15" s="19">
        <f>Q15*(1+V16)</f>
        <v>147.1823680430966</v>
      </c>
      <c r="W15" s="20">
        <f>SUM(S15:V15)</f>
        <v>782.00000000000011</v>
      </c>
    </row>
    <row r="16" spans="1:24" ht="14.5">
      <c r="A16" s="13" t="s">
        <v>27</v>
      </c>
      <c r="C16" s="14">
        <f>C15/B15-1</f>
        <v>-0.300009017945712</v>
      </c>
      <c r="H16" s="14">
        <f>H15/C15-1</f>
        <v>0.30501661899976806</v>
      </c>
      <c r="I16" s="15">
        <v>0.59060000000000001</v>
      </c>
      <c r="J16" s="14">
        <f>其他业务!$D$9</f>
        <v>9.9250816346724724E-2</v>
      </c>
      <c r="K16" s="14">
        <f>其他业务!$D$9</f>
        <v>9.9250816346724724E-2</v>
      </c>
      <c r="L16" s="14">
        <f>其他业务!$D$9</f>
        <v>9.9250816346724724E-2</v>
      </c>
      <c r="M16" s="16">
        <f>M15/H15-1</f>
        <v>0.19844419435724303</v>
      </c>
      <c r="N16" s="14">
        <f>其他业务!$E$9</f>
        <v>0.1499176276771006</v>
      </c>
      <c r="O16" s="14">
        <f>其他业务!$E$9</f>
        <v>0.1499176276771006</v>
      </c>
      <c r="P16" s="14">
        <f>其他业务!$E$9</f>
        <v>0.1499176276771006</v>
      </c>
      <c r="Q16" s="14">
        <f>其他业务!$E$9</f>
        <v>0.1499176276771006</v>
      </c>
      <c r="R16" s="16">
        <f>R15/M15-1</f>
        <v>0.1499176276771006</v>
      </c>
      <c r="S16" s="14">
        <f>其他业务!$F$9</f>
        <v>0.12034383954154726</v>
      </c>
      <c r="T16" s="14">
        <f>其他业务!$F$9</f>
        <v>0.12034383954154726</v>
      </c>
      <c r="U16" s="14">
        <f>其他业务!$F$9</f>
        <v>0.12034383954154726</v>
      </c>
      <c r="V16" s="14">
        <f>其他业务!$F$9</f>
        <v>0.12034383954154726</v>
      </c>
      <c r="W16" s="16">
        <f>W15/R15-1</f>
        <v>0.12034383954154748</v>
      </c>
    </row>
    <row r="17" spans="1:24" ht="14.5">
      <c r="A17" s="17" t="s">
        <v>32</v>
      </c>
      <c r="B17" s="18">
        <v>10</v>
      </c>
      <c r="C17" s="18">
        <v>50</v>
      </c>
      <c r="D17" s="18">
        <v>36</v>
      </c>
      <c r="E17" s="18">
        <v>55</v>
      </c>
      <c r="F17" s="18">
        <v>86</v>
      </c>
      <c r="G17" s="18">
        <v>57</v>
      </c>
      <c r="H17" s="19">
        <f>SUM(D17:G17)</f>
        <v>234</v>
      </c>
      <c r="I17" s="21">
        <v>57</v>
      </c>
      <c r="J17" s="19">
        <f>业务4_AI电感!$C$19</f>
        <v>159.75</v>
      </c>
      <c r="K17" s="19">
        <f>业务4_AI电感!$D$19</f>
        <v>217.26000000000002</v>
      </c>
      <c r="L17" s="19">
        <f>业务4_AI电感!$E$19</f>
        <v>261.99</v>
      </c>
      <c r="M17" s="20">
        <f>SUM(I17:L17)</f>
        <v>696</v>
      </c>
      <c r="N17" s="19">
        <f>业务4_AI电感!$B$21</f>
        <v>296.30500000000001</v>
      </c>
      <c r="O17" s="19">
        <f>业务4_AI电感!$C$21</f>
        <v>358.685</v>
      </c>
      <c r="P17" s="19">
        <f>业务4_AI电感!$D$21</f>
        <v>421.06500000000005</v>
      </c>
      <c r="Q17" s="19">
        <f>业务4_AI电感!$E$21</f>
        <v>483.44499999999999</v>
      </c>
      <c r="R17" s="20">
        <f>SUM(N17:Q17)</f>
        <v>1559.5</v>
      </c>
      <c r="S17" s="19">
        <f>业务4_AI电感!$B$23</f>
        <v>524.79</v>
      </c>
      <c r="T17" s="19">
        <f>业务4_AI电感!$C$23</f>
        <v>599.76</v>
      </c>
      <c r="U17" s="19">
        <f>业务4_AI电感!$D$23</f>
        <v>649.74</v>
      </c>
      <c r="V17" s="19">
        <f>业务4_AI电感!$E$23</f>
        <v>724.70999999999992</v>
      </c>
      <c r="W17" s="20">
        <f>SUM(S17:V17)</f>
        <v>2499</v>
      </c>
    </row>
    <row r="18" spans="1:24" ht="14.5">
      <c r="A18" s="13" t="s">
        <v>33</v>
      </c>
      <c r="H18" s="14">
        <f t="shared" ref="H18:W18" si="0">H17/C17-1</f>
        <v>3.6799999999999997</v>
      </c>
      <c r="I18" s="14">
        <f t="shared" si="0"/>
        <v>0.58333333333333326</v>
      </c>
      <c r="J18" s="14">
        <f t="shared" si="0"/>
        <v>1.9045454545454548</v>
      </c>
      <c r="K18" s="14">
        <f t="shared" si="0"/>
        <v>1.5262790697674422</v>
      </c>
      <c r="L18" s="14">
        <f t="shared" si="0"/>
        <v>3.5963157894736844</v>
      </c>
      <c r="M18" s="16">
        <f t="shared" si="0"/>
        <v>1.9743589743589745</v>
      </c>
      <c r="N18" s="14">
        <f t="shared" si="0"/>
        <v>4.1983333333333333</v>
      </c>
      <c r="O18" s="14">
        <f t="shared" si="0"/>
        <v>1.2452895148669798</v>
      </c>
      <c r="P18" s="14">
        <f t="shared" si="0"/>
        <v>0.93806959403479717</v>
      </c>
      <c r="Q18" s="14">
        <f t="shared" si="0"/>
        <v>0.84528035421199266</v>
      </c>
      <c r="R18" s="16">
        <f t="shared" si="0"/>
        <v>1.2406609195402298</v>
      </c>
      <c r="S18" s="14">
        <f t="shared" si="0"/>
        <v>0.77111422351968395</v>
      </c>
      <c r="T18" s="14">
        <f t="shared" si="0"/>
        <v>0.67210783835398735</v>
      </c>
      <c r="U18" s="14">
        <f t="shared" si="0"/>
        <v>0.54308717181432775</v>
      </c>
      <c r="V18" s="14">
        <f t="shared" si="0"/>
        <v>0.4990536669114376</v>
      </c>
      <c r="W18" s="16">
        <f t="shared" si="0"/>
        <v>0.60243667842257143</v>
      </c>
    </row>
    <row r="19" spans="1:24" ht="14.5">
      <c r="A19" s="17" t="s">
        <v>34</v>
      </c>
      <c r="B19" s="19">
        <f t="shared" ref="B19:H19" si="1">B21-B17</f>
        <v>342.12</v>
      </c>
      <c r="C19" s="19">
        <f t="shared" si="1"/>
        <v>338.94</v>
      </c>
      <c r="D19" s="19">
        <f t="shared" si="1"/>
        <v>109.72999999999999</v>
      </c>
      <c r="E19" s="19">
        <f t="shared" si="1"/>
        <v>125.16999999999999</v>
      </c>
      <c r="F19" s="19">
        <f t="shared" si="1"/>
        <v>144.54</v>
      </c>
      <c r="G19" s="19">
        <f t="shared" si="1"/>
        <v>119.97</v>
      </c>
      <c r="H19" s="19">
        <f t="shared" si="1"/>
        <v>499.40999999999997</v>
      </c>
      <c r="I19" s="19">
        <f>D19*(1+I20)</f>
        <v>134.715521</v>
      </c>
      <c r="J19" s="19">
        <f>E19*(1+J20)</f>
        <v>147.70059999999998</v>
      </c>
      <c r="K19" s="19">
        <f>F19*(1+K20)</f>
        <v>170.55719999999999</v>
      </c>
      <c r="L19" s="19">
        <f>G19*(1+L20)</f>
        <v>141.56459999999998</v>
      </c>
      <c r="M19" s="20">
        <f>SUM(I19:L19)</f>
        <v>594.53792099999987</v>
      </c>
      <c r="N19" s="19">
        <f>I19*(1+N20)</f>
        <v>158.96431478</v>
      </c>
      <c r="O19" s="19">
        <f>J19*(1+O20)</f>
        <v>174.28670799999998</v>
      </c>
      <c r="P19" s="19">
        <f>K19*(1+P20)</f>
        <v>201.25749599999997</v>
      </c>
      <c r="Q19" s="19">
        <f>L19*(1+Q20)</f>
        <v>167.04622799999999</v>
      </c>
      <c r="R19" s="20">
        <f>SUM(N19:Q19)</f>
        <v>701.55474677999996</v>
      </c>
      <c r="S19" s="19">
        <f>N19*(1+S20)</f>
        <v>182.80896199699998</v>
      </c>
      <c r="T19" s="19">
        <f>O19*(1+T20)</f>
        <v>200.42971419999995</v>
      </c>
      <c r="U19" s="19">
        <f>P19*(1+U20)</f>
        <v>231.44612039999996</v>
      </c>
      <c r="V19" s="19">
        <f>Q19*(1+V20)</f>
        <v>192.10316219999996</v>
      </c>
      <c r="W19" s="20">
        <f>SUM(S19:V19)</f>
        <v>806.78795879699976</v>
      </c>
    </row>
    <row r="20" spans="1:24" ht="14.5">
      <c r="A20" s="13" t="s">
        <v>33</v>
      </c>
      <c r="H20" s="14">
        <f>H19/C19-1</f>
        <v>0.47344662772172064</v>
      </c>
      <c r="I20" s="15">
        <v>0.22770000000000001</v>
      </c>
      <c r="J20" s="14">
        <f>业务2_消费AIoT!$D$11</f>
        <v>0.18</v>
      </c>
      <c r="K20" s="14">
        <f>业务2_消费AIoT!$D$11</f>
        <v>0.18</v>
      </c>
      <c r="L20" s="14">
        <f>业务2_消费AIoT!$D$11</f>
        <v>0.18</v>
      </c>
      <c r="M20" s="16">
        <f>M19/H19-1</f>
        <v>0.19048060911875986</v>
      </c>
      <c r="N20" s="14">
        <f>业务2_消费AIoT!$E$11</f>
        <v>0.18</v>
      </c>
      <c r="O20" s="14">
        <f>业务2_消费AIoT!$E$11</f>
        <v>0.18</v>
      </c>
      <c r="P20" s="14">
        <f>业务2_消费AIoT!$E$11</f>
        <v>0.18</v>
      </c>
      <c r="Q20" s="14">
        <f>业务2_消费AIoT!$E$11</f>
        <v>0.18</v>
      </c>
      <c r="R20" s="16">
        <f>R19/M19-1</f>
        <v>0.18000000000000016</v>
      </c>
      <c r="S20" s="14">
        <f>业务2_消费AIoT!$F$11</f>
        <v>0.15</v>
      </c>
      <c r="T20" s="14">
        <f>业务2_消费AIoT!$F$11</f>
        <v>0.15</v>
      </c>
      <c r="U20" s="14">
        <f>业务2_消费AIoT!$F$11</f>
        <v>0.15</v>
      </c>
      <c r="V20" s="14">
        <f>业务2_消费AIoT!$F$11</f>
        <v>0.15</v>
      </c>
      <c r="W20" s="16">
        <f>W19/R19-1</f>
        <v>0.14999999999999969</v>
      </c>
    </row>
    <row r="21" spans="1:24" ht="14.5">
      <c r="A21" s="9" t="s">
        <v>35</v>
      </c>
      <c r="B21" s="10">
        <v>352.12</v>
      </c>
      <c r="C21" s="10">
        <v>388.94</v>
      </c>
      <c r="D21" s="10">
        <v>145.72999999999999</v>
      </c>
      <c r="E21" s="10">
        <v>180.17</v>
      </c>
      <c r="F21" s="10">
        <v>230.54</v>
      </c>
      <c r="G21" s="10">
        <v>176.97</v>
      </c>
      <c r="H21" s="10">
        <v>733.41</v>
      </c>
      <c r="I21" s="11">
        <f>I17+I19</f>
        <v>191.715521</v>
      </c>
      <c r="J21" s="11">
        <f>J17+J19</f>
        <v>307.45060000000001</v>
      </c>
      <c r="K21" s="11">
        <f>K17+K19</f>
        <v>387.81720000000001</v>
      </c>
      <c r="L21" s="11">
        <f>L17+L19</f>
        <v>403.55459999999999</v>
      </c>
      <c r="M21" s="12">
        <f>SUM(I21:L21)</f>
        <v>1290.5379209999999</v>
      </c>
      <c r="N21" s="11">
        <f>N17+N19</f>
        <v>455.26931478</v>
      </c>
      <c r="O21" s="11">
        <f>O17+O19</f>
        <v>532.97170800000004</v>
      </c>
      <c r="P21" s="11">
        <f>P17+P19</f>
        <v>622.322496</v>
      </c>
      <c r="Q21" s="11">
        <f>Q17+Q19</f>
        <v>650.49122799999998</v>
      </c>
      <c r="R21" s="12">
        <f>SUM(N21:Q21)</f>
        <v>2261.0547467800002</v>
      </c>
      <c r="S21" s="11">
        <f>S17+S19</f>
        <v>707.59896199699995</v>
      </c>
      <c r="T21" s="11">
        <f>T17+T19</f>
        <v>800.18971419999991</v>
      </c>
      <c r="U21" s="11">
        <f>U17+U19</f>
        <v>881.18612039999994</v>
      </c>
      <c r="V21" s="11">
        <f>V17+V19</f>
        <v>916.81316219999985</v>
      </c>
      <c r="W21" s="12">
        <f>SUM(S21:V21)</f>
        <v>3305.7879587970001</v>
      </c>
    </row>
    <row r="22" spans="1:24" ht="14.5">
      <c r="A22" s="13" t="s">
        <v>36</v>
      </c>
      <c r="B22" s="14" t="str">
        <f>""</f>
        <v/>
      </c>
      <c r="C22" s="14">
        <f>C21/B21-1</f>
        <v>0.10456662501419967</v>
      </c>
      <c r="D22" s="14" t="str">
        <f>""</f>
        <v/>
      </c>
      <c r="E22" s="14" t="str">
        <f>""</f>
        <v/>
      </c>
      <c r="F22" s="14" t="str">
        <f>""</f>
        <v/>
      </c>
      <c r="G22" s="14" t="str">
        <f>""</f>
        <v/>
      </c>
      <c r="H22" s="14">
        <f t="shared" ref="H22:W22" si="2">H21/C21-1</f>
        <v>0.88566359849848308</v>
      </c>
      <c r="I22" s="14">
        <f t="shared" si="2"/>
        <v>0.31555287861113013</v>
      </c>
      <c r="J22" s="14">
        <f t="shared" si="2"/>
        <v>0.70644724426930128</v>
      </c>
      <c r="K22" s="14">
        <f t="shared" si="2"/>
        <v>0.6822121974494666</v>
      </c>
      <c r="L22" s="14">
        <f t="shared" si="2"/>
        <v>1.2803559925411085</v>
      </c>
      <c r="M22" s="16">
        <f t="shared" si="2"/>
        <v>0.7596404753139443</v>
      </c>
      <c r="N22" s="14">
        <f t="shared" si="2"/>
        <v>1.3747128683441336</v>
      </c>
      <c r="O22" s="14">
        <f t="shared" si="2"/>
        <v>0.7335198174926314</v>
      </c>
      <c r="P22" s="14">
        <f t="shared" si="2"/>
        <v>0.60467997809277141</v>
      </c>
      <c r="Q22" s="14">
        <f t="shared" si="2"/>
        <v>0.61190388611602997</v>
      </c>
      <c r="R22" s="16">
        <f t="shared" si="2"/>
        <v>0.75202503544256594</v>
      </c>
      <c r="S22" s="14">
        <f t="shared" si="2"/>
        <v>0.55424259669012255</v>
      </c>
      <c r="T22" s="14">
        <f t="shared" si="2"/>
        <v>0.50137371682025544</v>
      </c>
      <c r="U22" s="14">
        <f t="shared" si="2"/>
        <v>0.41596379058101718</v>
      </c>
      <c r="V22" s="14">
        <f t="shared" si="2"/>
        <v>0.40941664197199579</v>
      </c>
      <c r="W22" s="16">
        <f t="shared" si="2"/>
        <v>0.46205569038291494</v>
      </c>
    </row>
    <row r="23" spans="1:24" ht="14.5">
      <c r="A23" s="9" t="s">
        <v>37</v>
      </c>
      <c r="B23" s="11">
        <f t="shared" ref="B23:L23" si="3">B7+B9+B11+B13+B15+B21</f>
        <v>5040.42</v>
      </c>
      <c r="C23" s="11">
        <f t="shared" si="3"/>
        <v>5896.9099999999989</v>
      </c>
      <c r="D23" s="11">
        <f t="shared" si="3"/>
        <v>1460.7299999999998</v>
      </c>
      <c r="E23" s="11">
        <f t="shared" si="3"/>
        <v>1763.49</v>
      </c>
      <c r="F23" s="11">
        <f t="shared" si="3"/>
        <v>1807.81</v>
      </c>
      <c r="G23" s="11">
        <f t="shared" si="3"/>
        <v>1713.27</v>
      </c>
      <c r="H23" s="11">
        <f t="shared" si="3"/>
        <v>6745.3</v>
      </c>
      <c r="I23" s="11">
        <f t="shared" si="3"/>
        <v>1683.998611</v>
      </c>
      <c r="J23" s="11">
        <f t="shared" si="3"/>
        <v>2031.9103416420862</v>
      </c>
      <c r="K23" s="11">
        <f t="shared" si="3"/>
        <v>2123.4176073593708</v>
      </c>
      <c r="L23" s="11">
        <f t="shared" si="3"/>
        <v>2113.0838609985431</v>
      </c>
      <c r="M23" s="12">
        <f>SUM(I23:L23)</f>
        <v>7952.4104209999996</v>
      </c>
      <c r="N23" s="11">
        <f>N7+N9+N11+N13+N15+N21</f>
        <v>2112.9121773280485</v>
      </c>
      <c r="O23" s="11">
        <f>O7+O9+O11+O13+O15+O21</f>
        <v>2441.9587493478543</v>
      </c>
      <c r="P23" s="11">
        <f>P7+P9+P11+P13+P15+P21</f>
        <v>2560.6068074238356</v>
      </c>
      <c r="Q23" s="11">
        <f>Q7+Q9+Q11+Q13+Q15+Q21</f>
        <v>2579.9039086802622</v>
      </c>
      <c r="R23" s="12">
        <f>SUM(N23:Q23)</f>
        <v>9695.3816427800011</v>
      </c>
      <c r="S23" s="11">
        <f>S7+S9+S11+S13+S15+S21</f>
        <v>2533.5241427008727</v>
      </c>
      <c r="T23" s="11">
        <f>T7+T9+T11+T13+T15+T21</f>
        <v>2896.0771706469222</v>
      </c>
      <c r="U23" s="11">
        <f>U7+U9+U11+U13+U15+U21</f>
        <v>3028.6677333358311</v>
      </c>
      <c r="V23" s="11">
        <f>V7+V9+V11+V13+V15+V21</f>
        <v>3075.2020401133741</v>
      </c>
      <c r="W23" s="12">
        <f>SUM(S23:V23)</f>
        <v>11533.471086797001</v>
      </c>
    </row>
    <row r="24" spans="1:24" ht="14.5">
      <c r="A24" s="13" t="s">
        <v>36</v>
      </c>
      <c r="B24" s="14" t="str">
        <f>""</f>
        <v/>
      </c>
      <c r="C24" s="14">
        <f>C23/B23-1</f>
        <v>0.16992433170251653</v>
      </c>
      <c r="D24" s="14" t="str">
        <f>""</f>
        <v/>
      </c>
      <c r="E24" s="14" t="str">
        <f>""</f>
        <v/>
      </c>
      <c r="F24" s="14" t="str">
        <f>""</f>
        <v/>
      </c>
      <c r="G24" s="14" t="str">
        <f>""</f>
        <v/>
      </c>
      <c r="H24" s="14">
        <f t="shared" ref="H24:W24" si="4">H23/C23-1</f>
        <v>0.1438702642570433</v>
      </c>
      <c r="I24" s="14">
        <f t="shared" si="4"/>
        <v>0.15284728252312219</v>
      </c>
      <c r="J24" s="14">
        <f t="shared" si="4"/>
        <v>0.15220973276972716</v>
      </c>
      <c r="K24" s="14">
        <f t="shared" si="4"/>
        <v>0.17458007609171911</v>
      </c>
      <c r="L24" s="14">
        <f t="shared" si="4"/>
        <v>0.23336301983840446</v>
      </c>
      <c r="M24" s="16">
        <f t="shared" si="4"/>
        <v>0.17895577972810695</v>
      </c>
      <c r="N24" s="14">
        <f t="shared" si="4"/>
        <v>0.25469947749740074</v>
      </c>
      <c r="O24" s="14">
        <f t="shared" si="4"/>
        <v>0.20180438048973559</v>
      </c>
      <c r="P24" s="14">
        <f t="shared" si="4"/>
        <v>0.20588941080136491</v>
      </c>
      <c r="Q24" s="14">
        <f t="shared" si="4"/>
        <v>0.2209188458148188</v>
      </c>
      <c r="R24" s="16">
        <f t="shared" si="4"/>
        <v>0.21917520971720994</v>
      </c>
      <c r="S24" s="14">
        <f t="shared" si="4"/>
        <v>0.1990674150521119</v>
      </c>
      <c r="T24" s="14">
        <f t="shared" si="4"/>
        <v>0.18596482083095967</v>
      </c>
      <c r="U24" s="14">
        <f t="shared" si="4"/>
        <v>0.18279297100787617</v>
      </c>
      <c r="V24" s="14">
        <f t="shared" si="4"/>
        <v>0.1919831702904311</v>
      </c>
      <c r="W24" s="16">
        <f t="shared" si="4"/>
        <v>0.1895840217270659</v>
      </c>
    </row>
    <row r="25" spans="1:24" ht="14.5">
      <c r="A25" s="22" t="s">
        <v>38</v>
      </c>
      <c r="B25" s="23">
        <f>B23-5040.4237</f>
        <v>-3.7000000002080924E-3</v>
      </c>
      <c r="C25" s="23">
        <f>C23-5896.9102</f>
        <v>-2.0000000131403795E-4</v>
      </c>
      <c r="D25" s="23">
        <f>D23-1460.7352</f>
        <v>-5.2000000002863089E-3</v>
      </c>
      <c r="E25" s="23">
        <f>E23-1763.4848</f>
        <v>5.2000000000589353E-3</v>
      </c>
      <c r="F25" s="23">
        <f>F23-1807.8059</f>
        <v>4.0999999998803105E-3</v>
      </c>
      <c r="G25" s="23">
        <f>G23-1713.2656</f>
        <v>4.400000000032378E-3</v>
      </c>
      <c r="H25" s="23">
        <f>H23-6745.2914</f>
        <v>8.6000000001149601E-3</v>
      </c>
      <c r="I25" s="23">
        <f>I23-1684</f>
        <v>-1.3890000000174041E-3</v>
      </c>
    </row>
    <row r="26" spans="1:24">
      <c r="A26" s="7" t="s">
        <v>39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spans="1:24" ht="14.5">
      <c r="A27" s="13" t="s">
        <v>40</v>
      </c>
      <c r="C27" s="24">
        <v>0.375</v>
      </c>
      <c r="H27" s="24">
        <v>0.375</v>
      </c>
      <c r="I27" s="15">
        <v>0.31</v>
      </c>
      <c r="J27" s="14">
        <f>业务1_手机电感!$B$14</f>
        <v>0.34499999999999997</v>
      </c>
      <c r="K27" s="14">
        <f>业务1_手机电感!$C$14</f>
        <v>0.37</v>
      </c>
      <c r="L27" s="14">
        <f>业务1_手机电感!$D$14</f>
        <v>0.375</v>
      </c>
      <c r="N27" s="14">
        <f>业务1_手机电感!$E$14</f>
        <v>0.38500000000000001</v>
      </c>
      <c r="O27" s="14">
        <f>业务1_手机电感!$E$14</f>
        <v>0.38500000000000001</v>
      </c>
      <c r="P27" s="14">
        <f>业务1_手机电感!$E$14</f>
        <v>0.38500000000000001</v>
      </c>
      <c r="Q27" s="14">
        <f>业务1_手机电感!$E$14</f>
        <v>0.38500000000000001</v>
      </c>
      <c r="S27" s="14">
        <f>业务1_手机电感!$F$14</f>
        <v>0.38800000000000001</v>
      </c>
      <c r="T27" s="14">
        <f>业务1_手机电感!$F$14</f>
        <v>0.38800000000000001</v>
      </c>
      <c r="U27" s="14">
        <f>业务1_手机电感!$F$14</f>
        <v>0.38800000000000001</v>
      </c>
      <c r="V27" s="14">
        <f>业务1_手机电感!$F$14</f>
        <v>0.38800000000000001</v>
      </c>
    </row>
    <row r="28" spans="1:24" ht="14.5">
      <c r="A28" s="13" t="s">
        <v>41</v>
      </c>
      <c r="C28" s="24">
        <v>0.35</v>
      </c>
      <c r="H28" s="24">
        <v>0.35</v>
      </c>
      <c r="I28" s="15">
        <v>0.27500000000000002</v>
      </c>
      <c r="J28" s="14">
        <f>业务2_消费AIoT!$B$13</f>
        <v>0.315</v>
      </c>
      <c r="K28" s="14">
        <f>业务2_消费AIoT!$C$13</f>
        <v>0.34</v>
      </c>
      <c r="L28" s="14">
        <f>业务2_消费AIoT!$D$13</f>
        <v>0.34499999999999997</v>
      </c>
      <c r="N28" s="14">
        <f>业务2_消费AIoT!$E$13</f>
        <v>0.35499999999999998</v>
      </c>
      <c r="O28" s="14">
        <f>业务2_消费AIoT!$E$13</f>
        <v>0.35499999999999998</v>
      </c>
      <c r="P28" s="14">
        <f>业务2_消费AIoT!$E$13</f>
        <v>0.35499999999999998</v>
      </c>
      <c r="Q28" s="14">
        <f>业务2_消费AIoT!$E$13</f>
        <v>0.35499999999999998</v>
      </c>
      <c r="S28" s="14">
        <f>业务2_消费AIoT!$F$13</f>
        <v>0.35799999999999998</v>
      </c>
      <c r="T28" s="14">
        <f>业务2_消费AIoT!$F$13</f>
        <v>0.35799999999999998</v>
      </c>
      <c r="U28" s="14">
        <f>业务2_消费AIoT!$F$13</f>
        <v>0.35799999999999998</v>
      </c>
      <c r="V28" s="14">
        <f>业务2_消费AIoT!$F$13</f>
        <v>0.35799999999999998</v>
      </c>
    </row>
    <row r="29" spans="1:24" ht="14.5">
      <c r="A29" s="13" t="s">
        <v>42</v>
      </c>
      <c r="C29" s="24">
        <v>0.38</v>
      </c>
      <c r="H29" s="24">
        <v>0.37</v>
      </c>
      <c r="I29" s="15">
        <v>0.34499999999999997</v>
      </c>
      <c r="J29" s="14">
        <f>业务3_汽车储能!$B$17</f>
        <v>0.35</v>
      </c>
      <c r="K29" s="14">
        <f>业务3_汽车储能!$C$17</f>
        <v>0.35499999999999998</v>
      </c>
      <c r="L29" s="14">
        <f>业务3_汽车储能!$D$17</f>
        <v>0.35499999999999998</v>
      </c>
      <c r="N29" s="14">
        <f>业务3_汽车储能!$E$17</f>
        <v>0.35499999999999998</v>
      </c>
      <c r="O29" s="14">
        <f>业务3_汽车储能!$E$17</f>
        <v>0.35499999999999998</v>
      </c>
      <c r="P29" s="14">
        <f>业务3_汽车储能!$E$17</f>
        <v>0.35499999999999998</v>
      </c>
      <c r="Q29" s="14">
        <f>业务3_汽车储能!$E$17</f>
        <v>0.35499999999999998</v>
      </c>
      <c r="S29" s="14">
        <f>业务3_汽车储能!$F$17</f>
        <v>0.35499999999999998</v>
      </c>
      <c r="T29" s="14">
        <f>业务3_汽车储能!$F$17</f>
        <v>0.35499999999999998</v>
      </c>
      <c r="U29" s="14">
        <f>业务3_汽车储能!$F$17</f>
        <v>0.35499999999999998</v>
      </c>
      <c r="V29" s="14">
        <f>业务3_汽车储能!$F$17</f>
        <v>0.35499999999999998</v>
      </c>
    </row>
    <row r="30" spans="1:24" ht="14.5">
      <c r="A30" s="13" t="s">
        <v>43</v>
      </c>
      <c r="C30" s="24">
        <v>0.35</v>
      </c>
      <c r="H30" s="24">
        <v>0.35</v>
      </c>
      <c r="I30" s="15">
        <v>0.31</v>
      </c>
      <c r="J30" s="14">
        <f>其他业务!$B$6</f>
        <v>0.33</v>
      </c>
      <c r="K30" s="14">
        <f>其他业务!$C$6</f>
        <v>0.35</v>
      </c>
      <c r="L30" s="14">
        <f>其他业务!$D$6</f>
        <v>0.35499999999999998</v>
      </c>
      <c r="N30" s="14">
        <f>其他业务!$E$6</f>
        <v>0.35499999999999998</v>
      </c>
      <c r="O30" s="14">
        <f>其他业务!$E$6</f>
        <v>0.35499999999999998</v>
      </c>
      <c r="P30" s="14">
        <f>其他业务!$E$6</f>
        <v>0.35499999999999998</v>
      </c>
      <c r="Q30" s="14">
        <f>其他业务!$E$6</f>
        <v>0.35499999999999998</v>
      </c>
      <c r="S30" s="14">
        <f>其他业务!$F$6</f>
        <v>0.35499999999999998</v>
      </c>
      <c r="T30" s="14">
        <f>其他业务!$F$6</f>
        <v>0.35499999999999998</v>
      </c>
      <c r="U30" s="14">
        <f>其他业务!$F$6</f>
        <v>0.35499999999999998</v>
      </c>
      <c r="V30" s="14">
        <f>其他业务!$F$6</f>
        <v>0.35499999999999998</v>
      </c>
    </row>
    <row r="31" spans="1:24" ht="14.5">
      <c r="A31" s="13" t="s">
        <v>44</v>
      </c>
      <c r="C31" s="24">
        <v>0.34329999999999999</v>
      </c>
      <c r="H31" s="24">
        <v>0.33510000000000001</v>
      </c>
      <c r="I31" s="15">
        <v>0.32</v>
      </c>
      <c r="J31" s="14">
        <f>业务4_AI电感!$B$25</f>
        <v>0.34</v>
      </c>
      <c r="K31" s="14">
        <f>业务4_AI电感!$C$25</f>
        <v>0.36499999999999999</v>
      </c>
      <c r="L31" s="14">
        <f>业务4_AI电感!$D$25</f>
        <v>0.38</v>
      </c>
      <c r="N31" s="14">
        <f>业务4_AI电感!$E$25</f>
        <v>0.41</v>
      </c>
      <c r="O31" s="14">
        <f>业务4_AI电感!$E$25</f>
        <v>0.41</v>
      </c>
      <c r="P31" s="14">
        <f>业务4_AI电感!$E$25</f>
        <v>0.41</v>
      </c>
      <c r="Q31" s="14">
        <f>业务4_AI电感!$E$25</f>
        <v>0.41</v>
      </c>
      <c r="S31" s="14">
        <f>业务4_AI电感!$F$25</f>
        <v>0.42</v>
      </c>
      <c r="T31" s="14">
        <f>业务4_AI电感!$F$25</f>
        <v>0.42</v>
      </c>
      <c r="U31" s="14">
        <f>业务4_AI电感!$F$25</f>
        <v>0.42</v>
      </c>
      <c r="V31" s="14">
        <f>业务4_AI电感!$F$25</f>
        <v>0.42</v>
      </c>
    </row>
    <row r="32" spans="1:24" ht="14.5">
      <c r="A32" s="13" t="s">
        <v>45</v>
      </c>
      <c r="C32" s="24">
        <v>0.45</v>
      </c>
      <c r="H32" s="24">
        <v>0.45</v>
      </c>
      <c r="I32" s="15">
        <v>0.42</v>
      </c>
      <c r="J32" s="14">
        <f>其他业务!$B$10</f>
        <v>0.43</v>
      </c>
      <c r="K32" s="14">
        <f>其他业务!$C$10</f>
        <v>0.45</v>
      </c>
      <c r="L32" s="14">
        <f>其他业务!$D$10</f>
        <v>0.46</v>
      </c>
      <c r="N32" s="14">
        <f>其他业务!$E$10</f>
        <v>0.47499999999999998</v>
      </c>
      <c r="O32" s="14">
        <f>其他业务!$E$10</f>
        <v>0.47499999999999998</v>
      </c>
      <c r="P32" s="14">
        <f>其他业务!$E$10</f>
        <v>0.47499999999999998</v>
      </c>
      <c r="Q32" s="14">
        <f>其他业务!$E$10</f>
        <v>0.47499999999999998</v>
      </c>
      <c r="S32" s="14">
        <f>其他业务!$F$10</f>
        <v>0.48</v>
      </c>
      <c r="T32" s="14">
        <f>其他业务!$F$10</f>
        <v>0.48</v>
      </c>
      <c r="U32" s="14">
        <f>其他业务!$F$10</f>
        <v>0.48</v>
      </c>
      <c r="V32" s="14">
        <f>其他业务!$F$10</f>
        <v>0.48</v>
      </c>
    </row>
    <row r="33" spans="1:24" ht="14.5">
      <c r="A33" s="9" t="s">
        <v>46</v>
      </c>
      <c r="I33" s="11">
        <f>I7*I27+I9*I28+I11*I29+I13*I30+I21*I31+I15*I32</f>
        <v>541.98188812000012</v>
      </c>
      <c r="J33" s="11">
        <f>J7*J27+J9*J28+J11*J29+J13*J30+J21*J31+J15*J32</f>
        <v>704.12742293857821</v>
      </c>
      <c r="K33" s="11">
        <f>K7*K27+K9*K28+K11*K29+K13*K30+K21*K31+K15*K32</f>
        <v>770.77252507295418</v>
      </c>
      <c r="L33" s="11">
        <f>L7*L27+L9*L28+L11*L29+L13*L30+L21*L31+L15*L32</f>
        <v>779.49781332875284</v>
      </c>
      <c r="M33" s="12">
        <f>SUM(I33:L33)</f>
        <v>2796.3796494602852</v>
      </c>
      <c r="N33" s="11">
        <f>N7*N27+N9*N28+N11*N29+N13*N30+N21*N31+N15*N32</f>
        <v>810.45409159186488</v>
      </c>
      <c r="O33" s="11">
        <f>O7*O27+O9*O28+O11*O29+O13*O30+O21*O31+O15*O32</f>
        <v>940.58485611826848</v>
      </c>
      <c r="P33" s="11">
        <f>P7*P27+P9*P28+P11*P29+P13*P30+P21*P31+P15*P32</f>
        <v>976.55841533441753</v>
      </c>
      <c r="Q33" s="11">
        <f>Q7*Q27+Q9*Q28+Q11*Q29+Q13*Q30+Q21*Q31+Q15*Q32</f>
        <v>983.72203809524933</v>
      </c>
      <c r="R33" s="12">
        <f>SUM(N33:Q33)</f>
        <v>3711.3194011398004</v>
      </c>
      <c r="S33" s="11">
        <f>S7*S27+S9*S28+S11*S29+S13*S30+S21*S31+S15*S32</f>
        <v>987.16359229219381</v>
      </c>
      <c r="T33" s="11">
        <f>T7*T27+T9*T28+T11*T29+T13*T30+T21*T31+T15*T32</f>
        <v>1132.405286747379</v>
      </c>
      <c r="U33" s="11">
        <f>U7*U27+U9*U28+U11*U29+U13*U30+U21*U31+U15*U32</f>
        <v>1171.6992932800538</v>
      </c>
      <c r="V33" s="11">
        <f>V7*V27+V9*V28+V11*V29+V13*V30+V21*V31+V15*V32</f>
        <v>1188.9225940391132</v>
      </c>
      <c r="W33" s="12">
        <f>SUM(S33:V33)</f>
        <v>4480.1907663587399</v>
      </c>
    </row>
    <row r="34" spans="1:24" ht="14.5">
      <c r="A34" s="13" t="s">
        <v>47</v>
      </c>
      <c r="B34" s="25">
        <f>IS!B9/IS!B6</f>
        <v>0.35348478739991646</v>
      </c>
      <c r="C34" s="25">
        <f>IS!C9/IS!C6</f>
        <v>0.36496080608451525</v>
      </c>
      <c r="D34" s="25">
        <f>IS!D9/IS!D6</f>
        <v>0.36562725400195739</v>
      </c>
      <c r="E34" s="25">
        <f>IS!E9/IS!E6</f>
        <v>0.36781286688719972</v>
      </c>
      <c r="F34" s="25">
        <f>IS!F9/IS!F6</f>
        <v>0.36842854644959405</v>
      </c>
      <c r="G34" s="25">
        <f>IS!G9/IS!G6</f>
        <v>0.36331156126639091</v>
      </c>
      <c r="H34" s="25">
        <f>IS!H9/IS!H6</f>
        <v>0.36636126646804312</v>
      </c>
      <c r="I34" s="14">
        <f t="shared" ref="I34:W34" si="5">I33/I23</f>
        <v>0.32184224178080401</v>
      </c>
      <c r="J34" s="14">
        <f t="shared" si="5"/>
        <v>0.34653469127458564</v>
      </c>
      <c r="K34" s="14">
        <f t="shared" si="5"/>
        <v>0.36298678244053356</v>
      </c>
      <c r="L34" s="14">
        <f t="shared" si="5"/>
        <v>0.36889109216914806</v>
      </c>
      <c r="M34" s="16">
        <f t="shared" si="5"/>
        <v>0.35163925167592724</v>
      </c>
      <c r="N34" s="14">
        <f t="shared" si="5"/>
        <v>0.38357206716312781</v>
      </c>
      <c r="O34" s="14">
        <f t="shared" si="5"/>
        <v>0.38517639021112032</v>
      </c>
      <c r="P34" s="14">
        <f t="shared" si="5"/>
        <v>0.38137773144362969</v>
      </c>
      <c r="Q34" s="14">
        <f t="shared" si="5"/>
        <v>0.38130181313553951</v>
      </c>
      <c r="R34" s="16">
        <f t="shared" si="5"/>
        <v>0.38279250243888663</v>
      </c>
      <c r="S34" s="14">
        <f t="shared" si="5"/>
        <v>0.38964049154069808</v>
      </c>
      <c r="T34" s="14">
        <f t="shared" si="5"/>
        <v>0.39101350551871644</v>
      </c>
      <c r="U34" s="14">
        <f t="shared" si="5"/>
        <v>0.38686954015570479</v>
      </c>
      <c r="V34" s="14">
        <f t="shared" si="5"/>
        <v>0.38661609173336814</v>
      </c>
      <c r="W34" s="16">
        <f t="shared" si="5"/>
        <v>0.38845120715544695</v>
      </c>
    </row>
    <row r="35" spans="1:24">
      <c r="A35" s="7" t="s">
        <v>48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 spans="1:24" ht="14.5">
      <c r="A36" s="13" t="s">
        <v>49</v>
      </c>
      <c r="B36" s="25">
        <f>-IS!B11/IS!B6</f>
        <v>1.4424204060464201E-2</v>
      </c>
      <c r="C36" s="25">
        <f>-IS!C11/IS!C6</f>
        <v>1.3420536741427741E-2</v>
      </c>
      <c r="D36" s="25">
        <f>-IS!D11/IS!D6</f>
        <v>1.2729548791594807E-2</v>
      </c>
      <c r="E36" s="25">
        <f>-IS!E11/IS!E6</f>
        <v>1.1038824944791132E-2</v>
      </c>
      <c r="F36" s="25">
        <f>-IS!F11/IS!F6</f>
        <v>1.152634804433374E-2</v>
      </c>
      <c r="G36" s="25">
        <f>-IS!G11/IS!G6</f>
        <v>1.1441308341216915E-2</v>
      </c>
      <c r="H36" s="25">
        <f>-IS!H11/IS!H6</f>
        <v>1.1637866378908403E-2</v>
      </c>
      <c r="I36" s="15">
        <v>1.15E-2</v>
      </c>
      <c r="J36" s="15">
        <v>1.15E-2</v>
      </c>
      <c r="K36" s="15">
        <v>1.15E-2</v>
      </c>
      <c r="L36" s="15">
        <v>1.15E-2</v>
      </c>
      <c r="N36" s="15">
        <v>1.15E-2</v>
      </c>
      <c r="O36" s="15">
        <v>1.15E-2</v>
      </c>
      <c r="P36" s="15">
        <v>1.15E-2</v>
      </c>
      <c r="Q36" s="15">
        <v>1.15E-2</v>
      </c>
      <c r="S36" s="15">
        <v>1.15E-2</v>
      </c>
      <c r="T36" s="15">
        <v>1.15E-2</v>
      </c>
      <c r="U36" s="15">
        <v>1.15E-2</v>
      </c>
      <c r="V36" s="15">
        <v>1.15E-2</v>
      </c>
    </row>
    <row r="37" spans="1:24" ht="14.5">
      <c r="A37" s="13" t="s">
        <v>50</v>
      </c>
      <c r="B37" s="25">
        <f>-IS!B12/IS!B6</f>
        <v>2.1104297243900349E-2</v>
      </c>
      <c r="C37" s="25">
        <f>-IS!C12/IS!C6</f>
        <v>1.7486140453690475E-2</v>
      </c>
      <c r="D37" s="25">
        <f>-IS!D12/IS!D6</f>
        <v>1.6778468814881712E-2</v>
      </c>
      <c r="E37" s="25">
        <f>-IS!E12/IS!E6</f>
        <v>1.8339766807176337E-2</v>
      </c>
      <c r="F37" s="25">
        <f>-IS!F12/IS!F6</f>
        <v>1.3342250957362181E-2</v>
      </c>
      <c r="G37" s="25">
        <f>-IS!G12/IS!G6</f>
        <v>1.966315088565369E-2</v>
      </c>
      <c r="H37" s="25">
        <f>-IS!H12/IS!H6</f>
        <v>1.6998405732330555E-2</v>
      </c>
      <c r="I37" s="15">
        <v>1.55E-2</v>
      </c>
      <c r="J37" s="15">
        <v>1.6E-2</v>
      </c>
      <c r="K37" s="15">
        <v>1.6E-2</v>
      </c>
      <c r="L37" s="15">
        <v>1.6E-2</v>
      </c>
      <c r="N37" s="15">
        <v>1.6E-2</v>
      </c>
      <c r="O37" s="15">
        <v>1.6E-2</v>
      </c>
      <c r="P37" s="15">
        <v>1.6E-2</v>
      </c>
      <c r="Q37" s="15">
        <v>1.6E-2</v>
      </c>
      <c r="S37" s="15">
        <v>1.6E-2</v>
      </c>
      <c r="T37" s="15">
        <v>1.6E-2</v>
      </c>
      <c r="U37" s="15">
        <v>1.6E-2</v>
      </c>
      <c r="V37" s="15">
        <v>1.6E-2</v>
      </c>
    </row>
    <row r="38" spans="1:24" ht="14.5">
      <c r="A38" s="13" t="s">
        <v>51</v>
      </c>
      <c r="B38" s="25">
        <f>-IS!B13/IS!B6</f>
        <v>5.58828417539581E-2</v>
      </c>
      <c r="C38" s="25">
        <f>-IS!C13/IS!C6</f>
        <v>5.1538058015534981E-2</v>
      </c>
      <c r="D38" s="25">
        <f>-IS!D13/IS!D6</f>
        <v>5.0535237324328186E-2</v>
      </c>
      <c r="E38" s="25">
        <f>-IS!E13/IS!E6</f>
        <v>4.9446470987444861E-2</v>
      </c>
      <c r="F38" s="25">
        <f>-IS!F13/IS!F6</f>
        <v>4.8178291707090898E-2</v>
      </c>
      <c r="G38" s="25">
        <f>-IS!G13/IS!G6</f>
        <v>5.7581965108036953E-2</v>
      </c>
      <c r="H38" s="25">
        <f>-IS!H13/IS!H6</f>
        <v>5.1408735284586816E-2</v>
      </c>
      <c r="I38" s="15">
        <v>0.05</v>
      </c>
      <c r="J38" s="15">
        <v>4.9000000000000002E-2</v>
      </c>
      <c r="K38" s="15">
        <v>4.9000000000000002E-2</v>
      </c>
      <c r="L38" s="15">
        <v>4.9000000000000002E-2</v>
      </c>
      <c r="N38" s="15">
        <v>4.7E-2</v>
      </c>
      <c r="O38" s="15">
        <v>4.7E-2</v>
      </c>
      <c r="P38" s="15">
        <v>4.7E-2</v>
      </c>
      <c r="Q38" s="15">
        <v>4.7E-2</v>
      </c>
      <c r="S38" s="15">
        <v>4.5999999999999999E-2</v>
      </c>
      <c r="T38" s="15">
        <v>4.5999999999999999E-2</v>
      </c>
      <c r="U38" s="15">
        <v>4.5999999999999999E-2</v>
      </c>
      <c r="V38" s="15">
        <v>4.5999999999999999E-2</v>
      </c>
    </row>
    <row r="39" spans="1:24" ht="14.5">
      <c r="A39" s="13" t="s">
        <v>52</v>
      </c>
      <c r="B39" s="25">
        <f>-IS!B14/IS!B6</f>
        <v>7.6135821677054641E-2</v>
      </c>
      <c r="C39" s="25">
        <f>-IS!C14/IS!C6</f>
        <v>8.5595826098894975E-2</v>
      </c>
      <c r="D39" s="25">
        <f>-IS!D14/IS!D6</f>
        <v>7.9084833445514285E-2</v>
      </c>
      <c r="E39" s="25">
        <f>-IS!E14/IS!E6</f>
        <v>9.1738584874675413E-2</v>
      </c>
      <c r="F39" s="25">
        <f>-IS!F14/IS!F6</f>
        <v>9.7910400668567335E-2</v>
      </c>
      <c r="G39" s="25">
        <f>-IS!G14/IS!G6</f>
        <v>9.6410854218983918E-2</v>
      </c>
      <c r="H39" s="25">
        <f>-IS!H14/IS!H6</f>
        <v>9.18391902238649E-2</v>
      </c>
      <c r="I39" s="15">
        <v>0.10199999999999999</v>
      </c>
      <c r="J39" s="15">
        <v>9.2999999999999999E-2</v>
      </c>
      <c r="K39" s="15">
        <v>9.2999999999999999E-2</v>
      </c>
      <c r="L39" s="15">
        <v>9.2999999999999999E-2</v>
      </c>
      <c r="N39" s="15">
        <v>8.8999999999999996E-2</v>
      </c>
      <c r="O39" s="15">
        <v>8.8999999999999996E-2</v>
      </c>
      <c r="P39" s="15">
        <v>8.8999999999999996E-2</v>
      </c>
      <c r="Q39" s="15">
        <v>8.8999999999999996E-2</v>
      </c>
      <c r="S39" s="15">
        <v>8.5999999999999993E-2</v>
      </c>
      <c r="T39" s="15">
        <v>8.5999999999999993E-2</v>
      </c>
      <c r="U39" s="15">
        <v>8.5999999999999993E-2</v>
      </c>
      <c r="V39" s="15">
        <v>8.5999999999999993E-2</v>
      </c>
    </row>
    <row r="40" spans="1:24" ht="14.5">
      <c r="A40" s="17" t="s">
        <v>53</v>
      </c>
      <c r="B40" s="26">
        <f>IS!B16</f>
        <v>81.452799999999996</v>
      </c>
      <c r="C40" s="26">
        <f>IS!C16</f>
        <v>103.9494</v>
      </c>
      <c r="D40" s="26">
        <f>IS!D16</f>
        <v>21.4832</v>
      </c>
      <c r="E40" s="26">
        <f>IS!E16</f>
        <v>16.993099999999998</v>
      </c>
      <c r="F40" s="26">
        <f>IS!F16</f>
        <v>18.1189</v>
      </c>
      <c r="G40" s="26">
        <f>IS!G16</f>
        <v>35.622</v>
      </c>
      <c r="H40" s="26">
        <f>IS!H16</f>
        <v>92.217200000000005</v>
      </c>
      <c r="I40" s="21">
        <v>22</v>
      </c>
      <c r="J40" s="21">
        <v>25</v>
      </c>
      <c r="K40" s="21">
        <v>25</v>
      </c>
      <c r="L40" s="21">
        <v>28</v>
      </c>
      <c r="M40" s="20">
        <f>SUM(I40:L40)</f>
        <v>100</v>
      </c>
      <c r="N40" s="21">
        <v>27</v>
      </c>
      <c r="O40" s="21">
        <v>27</v>
      </c>
      <c r="P40" s="21">
        <v>27</v>
      </c>
      <c r="Q40" s="21">
        <v>27</v>
      </c>
      <c r="R40" s="20">
        <f>SUM(N40:Q40)</f>
        <v>108</v>
      </c>
      <c r="S40" s="21">
        <v>28</v>
      </c>
      <c r="T40" s="21">
        <v>28</v>
      </c>
      <c r="U40" s="21">
        <v>28</v>
      </c>
      <c r="V40" s="21">
        <v>28</v>
      </c>
      <c r="W40" s="20">
        <f>SUM(S40:V40)</f>
        <v>112</v>
      </c>
    </row>
    <row r="41" spans="1:24" ht="14.5">
      <c r="A41" s="17" t="s">
        <v>54</v>
      </c>
      <c r="B41" s="26">
        <f>IS!B17</f>
        <v>1.4220999999999999</v>
      </c>
      <c r="C41" s="26">
        <f>IS!C17</f>
        <v>-5.4835000000000003</v>
      </c>
      <c r="D41" s="26">
        <f>IS!D17</f>
        <v>3.1461000000000001</v>
      </c>
      <c r="E41" s="26">
        <f>IS!E17</f>
        <v>-0.40379999999999999</v>
      </c>
      <c r="F41" s="26">
        <f>IS!F17</f>
        <v>1.2452000000000001</v>
      </c>
      <c r="G41" s="26">
        <f>IS!G17</f>
        <v>1.9531000000000001</v>
      </c>
      <c r="H41" s="26">
        <f>IS!H17</f>
        <v>5.9405999999999999</v>
      </c>
      <c r="I41" s="21">
        <v>2.5</v>
      </c>
      <c r="J41" s="21">
        <v>2.5</v>
      </c>
      <c r="K41" s="21">
        <v>2.5</v>
      </c>
      <c r="L41" s="21">
        <v>2.5</v>
      </c>
      <c r="M41" s="20">
        <f>SUM(I41:L41)</f>
        <v>10</v>
      </c>
      <c r="N41" s="21">
        <v>2.5</v>
      </c>
      <c r="O41" s="21">
        <v>2.5</v>
      </c>
      <c r="P41" s="21">
        <v>2.5</v>
      </c>
      <c r="Q41" s="21">
        <v>2.5</v>
      </c>
      <c r="R41" s="20">
        <f>SUM(N41:Q41)</f>
        <v>10</v>
      </c>
      <c r="S41" s="21">
        <v>2.5</v>
      </c>
      <c r="T41" s="21">
        <v>2.5</v>
      </c>
      <c r="U41" s="21">
        <v>2.5</v>
      </c>
      <c r="V41" s="21">
        <v>2.5</v>
      </c>
      <c r="W41" s="20">
        <f>SUM(S41:V41)</f>
        <v>10</v>
      </c>
    </row>
    <row r="42" spans="1:24" ht="14.5">
      <c r="A42" s="17" t="s">
        <v>55</v>
      </c>
      <c r="B42" s="26">
        <f>IS!B18</f>
        <v>-102.5097</v>
      </c>
      <c r="C42" s="26">
        <f>IS!C18</f>
        <v>-80.236500000000007</v>
      </c>
      <c r="D42" s="26">
        <f>IS!D18</f>
        <v>-1.7196</v>
      </c>
      <c r="E42" s="26">
        <f>IS!E18</f>
        <v>-0.94720000000000004</v>
      </c>
      <c r="F42" s="26">
        <f>IS!F18</f>
        <v>-9.8427000000000007</v>
      </c>
      <c r="G42" s="26">
        <f>IS!G18</f>
        <v>-29.871500000000001</v>
      </c>
      <c r="H42" s="26">
        <f>IS!H18</f>
        <v>-42.381</v>
      </c>
      <c r="I42" s="21">
        <v>-10.5</v>
      </c>
      <c r="J42" s="21">
        <v>-10</v>
      </c>
      <c r="K42" s="21">
        <v>-10</v>
      </c>
      <c r="L42" s="21">
        <v>-14</v>
      </c>
      <c r="M42" s="20">
        <f>SUM(I42:L42)</f>
        <v>-44.5</v>
      </c>
      <c r="N42" s="21">
        <v>-12</v>
      </c>
      <c r="O42" s="21">
        <v>-12</v>
      </c>
      <c r="P42" s="21">
        <v>-12</v>
      </c>
      <c r="Q42" s="21">
        <v>-12</v>
      </c>
      <c r="R42" s="20">
        <f>SUM(N42:Q42)</f>
        <v>-48</v>
      </c>
      <c r="S42" s="21">
        <v>-12</v>
      </c>
      <c r="T42" s="21">
        <v>-12</v>
      </c>
      <c r="U42" s="21">
        <v>-12</v>
      </c>
      <c r="V42" s="21">
        <v>-12</v>
      </c>
      <c r="W42" s="20">
        <f>SUM(S42:V42)</f>
        <v>-48</v>
      </c>
    </row>
    <row r="43" spans="1:24" ht="14.5">
      <c r="A43" s="17" t="s">
        <v>56</v>
      </c>
      <c r="B43" s="26">
        <f>IS!B21</f>
        <v>-4.6157000000000004</v>
      </c>
      <c r="C43" s="26">
        <f>IS!C21</f>
        <v>-7.8080999999999996</v>
      </c>
      <c r="D43" s="26">
        <f>IS!D21</f>
        <v>-2.2301000000000002</v>
      </c>
      <c r="E43" s="26">
        <f>IS!E21</f>
        <v>-2.6528</v>
      </c>
      <c r="F43" s="26">
        <f>IS!F21</f>
        <v>-0.7167</v>
      </c>
      <c r="G43" s="26">
        <f>IS!G21</f>
        <v>-1.9206000000000001</v>
      </c>
      <c r="H43" s="26">
        <f>IS!H21</f>
        <v>-7.5202</v>
      </c>
      <c r="I43" s="21">
        <v>-2</v>
      </c>
      <c r="J43" s="21">
        <v>-2</v>
      </c>
      <c r="K43" s="21">
        <v>-2</v>
      </c>
      <c r="L43" s="21">
        <v>-2</v>
      </c>
      <c r="M43" s="20">
        <f>SUM(I43:L43)</f>
        <v>-8</v>
      </c>
      <c r="N43" s="21">
        <v>-2</v>
      </c>
      <c r="O43" s="21">
        <v>-2</v>
      </c>
      <c r="P43" s="21">
        <v>-2</v>
      </c>
      <c r="Q43" s="21">
        <v>-2</v>
      </c>
      <c r="R43" s="20">
        <f>SUM(N43:Q43)</f>
        <v>-8</v>
      </c>
      <c r="S43" s="21">
        <v>-2</v>
      </c>
      <c r="T43" s="21">
        <v>-2</v>
      </c>
      <c r="U43" s="21">
        <v>-2</v>
      </c>
      <c r="V43" s="21">
        <v>-2</v>
      </c>
      <c r="W43" s="20">
        <f>SUM(S43:V43)</f>
        <v>-8</v>
      </c>
    </row>
    <row r="44" spans="1:24" ht="14.5">
      <c r="A44" s="13" t="s">
        <v>57</v>
      </c>
      <c r="B44" s="25">
        <f>-IS!B23/IS!B22</f>
        <v>0.1187617325132263</v>
      </c>
      <c r="C44" s="25">
        <f>-IS!C23/IS!C22</f>
        <v>0.12273800643989188</v>
      </c>
      <c r="D44" s="25">
        <f>-IS!D23/IS!D22</f>
        <v>0.13283492990141074</v>
      </c>
      <c r="E44" s="25">
        <f>-IS!E23/IS!E22</f>
        <v>0.1319817982623287</v>
      </c>
      <c r="F44" s="25">
        <f>-IS!F23/IS!F22</f>
        <v>7.9183377660002899E-2</v>
      </c>
      <c r="G44" s="25">
        <f>-IS!G23/IS!G22</f>
        <v>7.3576908528364834E-2</v>
      </c>
      <c r="H44" s="25">
        <f>-IS!H23/IS!H22</f>
        <v>0.10480810074499994</v>
      </c>
      <c r="I44" s="15">
        <v>0.13</v>
      </c>
      <c r="J44" s="15">
        <v>0.105</v>
      </c>
      <c r="K44" s="15">
        <v>0.105</v>
      </c>
      <c r="L44" s="15">
        <v>0.105</v>
      </c>
      <c r="N44" s="15">
        <v>0.105</v>
      </c>
      <c r="O44" s="15">
        <v>0.105</v>
      </c>
      <c r="P44" s="15">
        <v>0.105</v>
      </c>
      <c r="Q44" s="15">
        <v>0.105</v>
      </c>
      <c r="S44" s="15">
        <v>0.105</v>
      </c>
      <c r="T44" s="15">
        <v>0.105</v>
      </c>
      <c r="U44" s="15">
        <v>0.105</v>
      </c>
      <c r="V44" s="15">
        <v>0.105</v>
      </c>
    </row>
    <row r="45" spans="1:24" ht="14.5">
      <c r="A45" s="13" t="s">
        <v>58</v>
      </c>
      <c r="B45" s="25">
        <f>-IS!B25/IS!B24</f>
        <v>0.13445270388052349</v>
      </c>
      <c r="C45" s="25">
        <f>-IS!C25/IS!C24</f>
        <v>0.12439151616823579</v>
      </c>
      <c r="D45" s="25">
        <f>-IS!D25/IS!D24</f>
        <v>0.10533073471575798</v>
      </c>
      <c r="E45" s="25">
        <f>-IS!E25/IS!E24</f>
        <v>0.15299434611685145</v>
      </c>
      <c r="F45" s="25">
        <f>-IS!F25/IS!F24</f>
        <v>9.9049903526952712E-2</v>
      </c>
      <c r="G45" s="25">
        <f>-IS!G25/IS!G24</f>
        <v>5.8000520475786653E-2</v>
      </c>
      <c r="H45" s="25">
        <f>-IS!H25/IS!H24</f>
        <v>0.10497070820144062</v>
      </c>
      <c r="I45" s="15">
        <v>0.11</v>
      </c>
      <c r="J45" s="15">
        <v>0.105</v>
      </c>
      <c r="K45" s="15">
        <v>0.105</v>
      </c>
      <c r="L45" s="15">
        <v>0.105</v>
      </c>
      <c r="N45" s="15">
        <v>0.105</v>
      </c>
      <c r="O45" s="15">
        <v>0.105</v>
      </c>
      <c r="P45" s="15">
        <v>0.105</v>
      </c>
      <c r="Q45" s="15">
        <v>0.105</v>
      </c>
      <c r="S45" s="15">
        <v>0.105</v>
      </c>
      <c r="T45" s="15">
        <v>0.105</v>
      </c>
      <c r="U45" s="15">
        <v>0.105</v>
      </c>
      <c r="V45" s="15">
        <v>0.105</v>
      </c>
    </row>
    <row r="46" spans="1:24">
      <c r="A46" s="7" t="s">
        <v>59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 spans="1:24" ht="14.5">
      <c r="A47" s="17" t="s">
        <v>60</v>
      </c>
      <c r="B47" s="18">
        <v>521.53399999999999</v>
      </c>
      <c r="C47" s="18">
        <v>570.13599999999997</v>
      </c>
      <c r="D47" s="19">
        <f t="shared" ref="D47:G48" si="6">$H47/4</f>
        <v>147.29</v>
      </c>
      <c r="E47" s="19">
        <f t="shared" si="6"/>
        <v>147.29</v>
      </c>
      <c r="F47" s="19">
        <f t="shared" si="6"/>
        <v>147.29</v>
      </c>
      <c r="G47" s="19">
        <f t="shared" si="6"/>
        <v>147.29</v>
      </c>
      <c r="H47" s="18">
        <v>589.16</v>
      </c>
      <c r="I47" s="21">
        <v>158</v>
      </c>
      <c r="J47" s="21">
        <v>161</v>
      </c>
      <c r="K47" s="21">
        <v>164</v>
      </c>
      <c r="L47" s="21">
        <v>167</v>
      </c>
      <c r="M47" s="20">
        <f>SUM(I47:L47)</f>
        <v>650</v>
      </c>
      <c r="N47" s="21">
        <v>176</v>
      </c>
      <c r="O47" s="21">
        <v>179</v>
      </c>
      <c r="P47" s="21">
        <v>182</v>
      </c>
      <c r="Q47" s="21">
        <v>185</v>
      </c>
      <c r="R47" s="20">
        <f>SUM(N47:Q47)</f>
        <v>722</v>
      </c>
      <c r="S47" s="21">
        <v>196</v>
      </c>
      <c r="T47" s="21">
        <v>199</v>
      </c>
      <c r="U47" s="21">
        <v>202</v>
      </c>
      <c r="V47" s="21">
        <v>205</v>
      </c>
      <c r="W47" s="20">
        <f>SUM(S47:V47)</f>
        <v>802</v>
      </c>
    </row>
    <row r="48" spans="1:24" ht="14.5">
      <c r="A48" s="17" t="s">
        <v>61</v>
      </c>
      <c r="B48" s="18">
        <v>21.023199999999999</v>
      </c>
      <c r="C48" s="18">
        <v>25.726299999999998</v>
      </c>
      <c r="D48" s="19">
        <f t="shared" si="6"/>
        <v>6.65585</v>
      </c>
      <c r="E48" s="19">
        <f t="shared" si="6"/>
        <v>6.65585</v>
      </c>
      <c r="F48" s="19">
        <f t="shared" si="6"/>
        <v>6.65585</v>
      </c>
      <c r="G48" s="19">
        <f t="shared" si="6"/>
        <v>6.65585</v>
      </c>
      <c r="H48" s="18">
        <v>26.6234</v>
      </c>
      <c r="I48" s="21">
        <v>6.7</v>
      </c>
      <c r="J48" s="21">
        <v>6.7</v>
      </c>
      <c r="K48" s="21">
        <v>6.7</v>
      </c>
      <c r="L48" s="21">
        <v>6.7</v>
      </c>
      <c r="M48" s="20">
        <f>SUM(I48:L48)</f>
        <v>26.8</v>
      </c>
      <c r="N48" s="21">
        <v>6.7</v>
      </c>
      <c r="O48" s="21">
        <v>6.7</v>
      </c>
      <c r="P48" s="21">
        <v>6.7</v>
      </c>
      <c r="Q48" s="21">
        <v>6.7</v>
      </c>
      <c r="R48" s="20">
        <f>SUM(N48:Q48)</f>
        <v>26.8</v>
      </c>
      <c r="S48" s="21">
        <v>6.7</v>
      </c>
      <c r="T48" s="21">
        <v>6.7</v>
      </c>
      <c r="U48" s="21">
        <v>6.7</v>
      </c>
      <c r="V48" s="21">
        <v>6.7</v>
      </c>
      <c r="W48" s="20">
        <f>SUM(S48:V48)</f>
        <v>26.8</v>
      </c>
    </row>
    <row r="49" spans="1:24" ht="14.5">
      <c r="A49" s="9" t="s">
        <v>62</v>
      </c>
      <c r="B49" s="11">
        <f t="shared" ref="B49:L49" si="7">B47+B48</f>
        <v>542.55719999999997</v>
      </c>
      <c r="C49" s="11">
        <f t="shared" si="7"/>
        <v>595.8623</v>
      </c>
      <c r="D49" s="11">
        <f t="shared" si="7"/>
        <v>153.94584999999998</v>
      </c>
      <c r="E49" s="11">
        <f t="shared" si="7"/>
        <v>153.94584999999998</v>
      </c>
      <c r="F49" s="11">
        <f t="shared" si="7"/>
        <v>153.94584999999998</v>
      </c>
      <c r="G49" s="11">
        <f t="shared" si="7"/>
        <v>153.94584999999998</v>
      </c>
      <c r="H49" s="11">
        <f t="shared" si="7"/>
        <v>615.78339999999992</v>
      </c>
      <c r="I49" s="11">
        <f t="shared" si="7"/>
        <v>164.7</v>
      </c>
      <c r="J49" s="11">
        <f t="shared" si="7"/>
        <v>167.7</v>
      </c>
      <c r="K49" s="11">
        <f t="shared" si="7"/>
        <v>170.7</v>
      </c>
      <c r="L49" s="11">
        <f t="shared" si="7"/>
        <v>173.7</v>
      </c>
      <c r="M49" s="12">
        <f>SUM(I49:L49)</f>
        <v>676.8</v>
      </c>
      <c r="N49" s="11">
        <f>N47+N48</f>
        <v>182.7</v>
      </c>
      <c r="O49" s="11">
        <f>O47+O48</f>
        <v>185.7</v>
      </c>
      <c r="P49" s="11">
        <f>P47+P48</f>
        <v>188.7</v>
      </c>
      <c r="Q49" s="11">
        <f>Q47+Q48</f>
        <v>191.7</v>
      </c>
      <c r="R49" s="12">
        <f>SUM(N49:Q49)</f>
        <v>748.8</v>
      </c>
      <c r="S49" s="11">
        <f>S47+S48</f>
        <v>202.7</v>
      </c>
      <c r="T49" s="11">
        <f>T47+T48</f>
        <v>205.7</v>
      </c>
      <c r="U49" s="11">
        <f>U47+U48</f>
        <v>208.7</v>
      </c>
      <c r="V49" s="11">
        <f>V47+V48</f>
        <v>211.7</v>
      </c>
      <c r="W49" s="12">
        <f>SUM(S49:V49)</f>
        <v>828.8</v>
      </c>
    </row>
    <row r="50" spans="1:24" ht="14.5">
      <c r="A50" s="17" t="s">
        <v>63</v>
      </c>
      <c r="B50" s="18">
        <v>1100.8289</v>
      </c>
      <c r="C50" s="18">
        <v>818.91409999999996</v>
      </c>
      <c r="H50" s="18">
        <v>728.9701</v>
      </c>
      <c r="I50" s="21">
        <v>340</v>
      </c>
      <c r="J50" s="21">
        <v>380</v>
      </c>
      <c r="K50" s="21">
        <v>390</v>
      </c>
      <c r="L50" s="21">
        <v>390</v>
      </c>
      <c r="M50" s="20">
        <f>SUM(I50:L50)</f>
        <v>1500</v>
      </c>
      <c r="N50" s="21">
        <v>350</v>
      </c>
      <c r="O50" s="21">
        <v>345</v>
      </c>
      <c r="P50" s="21">
        <v>340</v>
      </c>
      <c r="Q50" s="21">
        <v>325</v>
      </c>
      <c r="R50" s="20">
        <f>SUM(N50:Q50)</f>
        <v>1360</v>
      </c>
      <c r="S50" s="21">
        <v>310</v>
      </c>
      <c r="T50" s="21">
        <v>305</v>
      </c>
      <c r="U50" s="21">
        <v>300</v>
      </c>
      <c r="V50" s="21">
        <v>285</v>
      </c>
      <c r="W50" s="20">
        <f>SUM(S50:V50)</f>
        <v>1200</v>
      </c>
    </row>
    <row r="51" spans="1:24" ht="14.5">
      <c r="A51" s="13" t="s">
        <v>64</v>
      </c>
      <c r="B51" s="27">
        <f>BS!B8/IS!B6*365</f>
        <v>195.97001458428977</v>
      </c>
      <c r="C51" s="27">
        <f>BS!C8/IS!C6*365</f>
        <v>189.41844298392061</v>
      </c>
      <c r="H51" s="27">
        <f>BS!H8/IS!H6*365</f>
        <v>179.26204062881553</v>
      </c>
      <c r="I51" s="28">
        <v>178</v>
      </c>
      <c r="J51" s="28">
        <v>178</v>
      </c>
      <c r="K51" s="28">
        <v>178</v>
      </c>
      <c r="L51" s="28">
        <v>178</v>
      </c>
      <c r="N51" s="28">
        <v>176</v>
      </c>
      <c r="O51" s="28">
        <v>176</v>
      </c>
      <c r="P51" s="28">
        <v>176</v>
      </c>
      <c r="Q51" s="28">
        <v>176</v>
      </c>
      <c r="S51" s="28">
        <v>174</v>
      </c>
      <c r="T51" s="28">
        <v>174</v>
      </c>
      <c r="U51" s="28">
        <v>174</v>
      </c>
      <c r="V51" s="28">
        <v>174</v>
      </c>
    </row>
    <row r="52" spans="1:24" ht="14.5">
      <c r="A52" s="13" t="s">
        <v>65</v>
      </c>
      <c r="B52" s="27">
        <f>-BS!B9/IS!B8*365</f>
        <v>96.842606858062211</v>
      </c>
      <c r="C52" s="27">
        <f>-BS!C9/IS!C8*365</f>
        <v>97.181252643854606</v>
      </c>
      <c r="H52" s="27">
        <f>-BS!H9/IS!H8*365</f>
        <v>112.86108402469686</v>
      </c>
      <c r="I52" s="28">
        <v>115</v>
      </c>
      <c r="J52" s="28">
        <v>115</v>
      </c>
      <c r="K52" s="28">
        <v>115</v>
      </c>
      <c r="L52" s="28">
        <v>115</v>
      </c>
      <c r="N52" s="28">
        <v>116</v>
      </c>
      <c r="O52" s="28">
        <v>116</v>
      </c>
      <c r="P52" s="28">
        <v>116</v>
      </c>
      <c r="Q52" s="28">
        <v>116</v>
      </c>
      <c r="S52" s="28">
        <v>117</v>
      </c>
      <c r="T52" s="28">
        <v>117</v>
      </c>
      <c r="U52" s="28">
        <v>117</v>
      </c>
      <c r="V52" s="28">
        <v>117</v>
      </c>
    </row>
    <row r="53" spans="1:24" ht="14.5">
      <c r="A53" s="13" t="s">
        <v>66</v>
      </c>
      <c r="B53" s="27">
        <f>-BS!B21/IS!B8*365</f>
        <v>89.996921788636271</v>
      </c>
      <c r="C53" s="27">
        <f>-BS!C21/IS!C8*365</f>
        <v>87.74636145123074</v>
      </c>
      <c r="H53" s="27">
        <f>-BS!H21/IS!H8*365</f>
        <v>92.8410025002118</v>
      </c>
      <c r="I53" s="28">
        <v>95</v>
      </c>
      <c r="J53" s="28">
        <v>95</v>
      </c>
      <c r="K53" s="28">
        <v>95</v>
      </c>
      <c r="L53" s="28">
        <v>95</v>
      </c>
      <c r="N53" s="28">
        <v>95</v>
      </c>
      <c r="O53" s="28">
        <v>95</v>
      </c>
      <c r="P53" s="28">
        <v>95</v>
      </c>
      <c r="Q53" s="28">
        <v>95</v>
      </c>
      <c r="S53" s="28">
        <v>95</v>
      </c>
      <c r="T53" s="28">
        <v>95</v>
      </c>
      <c r="U53" s="28">
        <v>95</v>
      </c>
      <c r="V53" s="28">
        <v>95</v>
      </c>
    </row>
    <row r="54" spans="1:24">
      <c r="A54" s="7" t="s">
        <v>67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 spans="1:24" ht="14.5">
      <c r="A55" s="17" t="s">
        <v>68</v>
      </c>
      <c r="C55" s="19">
        <f>B57</f>
        <v>3745.5752000000002</v>
      </c>
      <c r="H55" s="19">
        <f>C57</f>
        <v>3281.4511000000002</v>
      </c>
      <c r="I55" s="19">
        <f>H57</f>
        <v>3132.1559000000002</v>
      </c>
      <c r="J55" s="19">
        <f>I57</f>
        <v>3432.1559000000002</v>
      </c>
      <c r="K55" s="19">
        <f>J57</f>
        <v>3782.1559000000002</v>
      </c>
      <c r="L55" s="19">
        <f>K57</f>
        <v>4132.1558999999997</v>
      </c>
      <c r="M55" s="20">
        <f>I55</f>
        <v>3132.1559000000002</v>
      </c>
      <c r="N55" s="19">
        <f>L57</f>
        <v>4232.1558999999997</v>
      </c>
      <c r="O55" s="19">
        <f>N57</f>
        <v>4432.1558999999997</v>
      </c>
      <c r="P55" s="19">
        <f>O57</f>
        <v>4632.1558999999997</v>
      </c>
      <c r="Q55" s="19">
        <f>P57</f>
        <v>4832.1558999999997</v>
      </c>
      <c r="R55" s="20">
        <f>N55</f>
        <v>4232.1558999999997</v>
      </c>
      <c r="S55" s="19">
        <f>Q57</f>
        <v>5032.1558999999997</v>
      </c>
      <c r="T55" s="19">
        <f>S57</f>
        <v>5182.1558999999997</v>
      </c>
      <c r="U55" s="19">
        <f>T57</f>
        <v>5332.1558999999997</v>
      </c>
      <c r="V55" s="19">
        <f>U57</f>
        <v>5482.1558999999997</v>
      </c>
      <c r="W55" s="20">
        <f>S55</f>
        <v>5032.1558999999997</v>
      </c>
    </row>
    <row r="56" spans="1:24" ht="14.5">
      <c r="A56" s="17" t="s">
        <v>69</v>
      </c>
      <c r="C56" s="19">
        <f>C57-C55</f>
        <v>-464.1241</v>
      </c>
      <c r="H56" s="19">
        <f>H57-H55</f>
        <v>-149.29520000000002</v>
      </c>
      <c r="I56" s="21">
        <v>300</v>
      </c>
      <c r="J56" s="21">
        <v>350</v>
      </c>
      <c r="K56" s="21">
        <v>350</v>
      </c>
      <c r="L56" s="21">
        <v>100</v>
      </c>
      <c r="M56" s="20">
        <f>SUM(I56:L56)</f>
        <v>1100</v>
      </c>
      <c r="N56" s="21">
        <v>200</v>
      </c>
      <c r="O56" s="21">
        <v>200</v>
      </c>
      <c r="P56" s="21">
        <v>200</v>
      </c>
      <c r="Q56" s="21">
        <v>200</v>
      </c>
      <c r="R56" s="20">
        <f>SUM(N56:Q56)</f>
        <v>800</v>
      </c>
      <c r="S56" s="21">
        <v>150</v>
      </c>
      <c r="T56" s="21">
        <v>150</v>
      </c>
      <c r="U56" s="21">
        <v>150</v>
      </c>
      <c r="V56" s="21">
        <v>150</v>
      </c>
      <c r="W56" s="20">
        <f>SUM(S56:V56)</f>
        <v>600</v>
      </c>
    </row>
    <row r="57" spans="1:24" ht="14.5">
      <c r="A57" s="9" t="s">
        <v>70</v>
      </c>
      <c r="B57" s="10">
        <v>3745.5752000000002</v>
      </c>
      <c r="C57" s="10">
        <v>3281.4511000000002</v>
      </c>
      <c r="H57" s="10">
        <v>3132.1559000000002</v>
      </c>
      <c r="I57" s="11">
        <f>I55+I56</f>
        <v>3432.1559000000002</v>
      </c>
      <c r="J57" s="11">
        <f>J55+J56</f>
        <v>3782.1559000000002</v>
      </c>
      <c r="K57" s="11">
        <f>K55+K56</f>
        <v>4132.1558999999997</v>
      </c>
      <c r="L57" s="11">
        <f>L55+L56</f>
        <v>4232.1558999999997</v>
      </c>
      <c r="M57" s="12">
        <f>L57</f>
        <v>4232.1558999999997</v>
      </c>
      <c r="N57" s="11">
        <f>N55+N56</f>
        <v>4432.1558999999997</v>
      </c>
      <c r="O57" s="11">
        <f>O55+O56</f>
        <v>4632.1558999999997</v>
      </c>
      <c r="P57" s="11">
        <f>P55+P56</f>
        <v>4832.1558999999997</v>
      </c>
      <c r="Q57" s="11">
        <f>Q55+Q56</f>
        <v>5032.1558999999997</v>
      </c>
      <c r="R57" s="12">
        <f>Q57</f>
        <v>5032.1558999999997</v>
      </c>
      <c r="S57" s="11">
        <f>S55+S56</f>
        <v>5182.1558999999997</v>
      </c>
      <c r="T57" s="11">
        <f>T55+T56</f>
        <v>5332.1558999999997</v>
      </c>
      <c r="U57" s="11">
        <f>U55+U56</f>
        <v>5482.1558999999997</v>
      </c>
      <c r="V57" s="11">
        <f>V55+V56</f>
        <v>5632.1558999999997</v>
      </c>
      <c r="W57" s="12">
        <f>V57</f>
        <v>5632.1558999999997</v>
      </c>
    </row>
    <row r="58" spans="1:24" ht="14.5">
      <c r="A58" s="13" t="s">
        <v>71</v>
      </c>
      <c r="C58" s="14">
        <f>C59/AVERAGE(C55,C57)</f>
        <v>2.5158380295232423E-2</v>
      </c>
      <c r="H58" s="14">
        <f>H59/AVERAGE(H55,H57)</f>
        <v>2.6736530629332293E-2</v>
      </c>
      <c r="I58" s="15">
        <v>6.7999999999999996E-3</v>
      </c>
      <c r="J58" s="15">
        <v>6.7999999999999996E-3</v>
      </c>
      <c r="K58" s="15">
        <v>6.7999999999999996E-3</v>
      </c>
      <c r="L58" s="15">
        <v>6.7999999999999996E-3</v>
      </c>
      <c r="N58" s="15">
        <v>6.7999999999999996E-3</v>
      </c>
      <c r="O58" s="15">
        <v>6.7999999999999996E-3</v>
      </c>
      <c r="P58" s="15">
        <v>6.7999999999999996E-3</v>
      </c>
      <c r="Q58" s="15">
        <v>6.7999999999999996E-3</v>
      </c>
      <c r="S58" s="15">
        <v>6.7999999999999996E-3</v>
      </c>
      <c r="T58" s="15">
        <v>6.7999999999999996E-3</v>
      </c>
      <c r="U58" s="15">
        <v>6.7999999999999996E-3</v>
      </c>
      <c r="V58" s="15">
        <v>6.7999999999999996E-3</v>
      </c>
    </row>
    <row r="59" spans="1:24" ht="14.5">
      <c r="A59" s="9" t="s">
        <v>72</v>
      </c>
      <c r="B59" s="29">
        <f>-IS!B15</f>
        <v>73.1935</v>
      </c>
      <c r="C59" s="29">
        <f>-IS!C15</f>
        <v>88.394300000000001</v>
      </c>
      <c r="D59" s="29">
        <f>-IS!D15</f>
        <v>21.800599999999999</v>
      </c>
      <c r="E59" s="29">
        <f>-IS!E15</f>
        <v>17.087900000000001</v>
      </c>
      <c r="F59" s="29">
        <f>-IS!F15</f>
        <v>24.427299999999999</v>
      </c>
      <c r="G59" s="29">
        <f>-IS!G15</f>
        <v>22.422999999999998</v>
      </c>
      <c r="H59" s="29">
        <f>-IS!H15</f>
        <v>85.738799999999998</v>
      </c>
      <c r="I59" s="11">
        <f>I58*AVERAGE(I55,I57)</f>
        <v>22.318660120000001</v>
      </c>
      <c r="J59" s="11">
        <f>J58*AVERAGE(J55,J57)</f>
        <v>24.528660120000001</v>
      </c>
      <c r="K59" s="11">
        <f>K58*AVERAGE(K55,K57)</f>
        <v>26.908660119999997</v>
      </c>
      <c r="L59" s="11">
        <f>L58*AVERAGE(L55,L57)</f>
        <v>28.438660119999998</v>
      </c>
      <c r="M59" s="12">
        <f>SUM(I59:L59)</f>
        <v>102.19464047999999</v>
      </c>
      <c r="N59" s="11">
        <f>N58*AVERAGE(N55,N57)</f>
        <v>29.458660119999998</v>
      </c>
      <c r="O59" s="11">
        <f>O58*AVERAGE(O55,O57)</f>
        <v>30.818660119999997</v>
      </c>
      <c r="P59" s="11">
        <f>P58*AVERAGE(P55,P57)</f>
        <v>32.178660119999996</v>
      </c>
      <c r="Q59" s="11">
        <f>Q58*AVERAGE(Q55,Q57)</f>
        <v>33.538660119999996</v>
      </c>
      <c r="R59" s="12">
        <f>SUM(N59:Q59)</f>
        <v>125.99464047999999</v>
      </c>
      <c r="S59" s="11">
        <f>S58*AVERAGE(S55,S57)</f>
        <v>34.728660119999994</v>
      </c>
      <c r="T59" s="11">
        <f>T58*AVERAGE(T55,T57)</f>
        <v>35.748660119999997</v>
      </c>
      <c r="U59" s="11">
        <f>U58*AVERAGE(U55,U57)</f>
        <v>36.768660119999993</v>
      </c>
      <c r="V59" s="11">
        <f>V58*AVERAGE(V55,V57)</f>
        <v>37.788660119999996</v>
      </c>
      <c r="W59" s="12">
        <f>SUM(S59:V59)</f>
        <v>145.03464047999998</v>
      </c>
    </row>
    <row r="60" spans="1:24">
      <c r="A60" s="7" t="s">
        <v>73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</row>
    <row r="61" spans="1:24" ht="14.5">
      <c r="A61" s="17" t="s">
        <v>74</v>
      </c>
      <c r="B61" s="18">
        <v>806.3184</v>
      </c>
      <c r="C61" s="18">
        <v>806.3184</v>
      </c>
      <c r="D61" s="18">
        <v>806.3184</v>
      </c>
      <c r="E61" s="18">
        <v>806.3184</v>
      </c>
      <c r="F61" s="18">
        <v>806.3184</v>
      </c>
      <c r="G61" s="18">
        <v>806.3184</v>
      </c>
      <c r="H61" s="18">
        <v>806.3184</v>
      </c>
      <c r="I61" s="19">
        <f>H61</f>
        <v>806.3184</v>
      </c>
      <c r="J61" s="19">
        <f>I61</f>
        <v>806.3184</v>
      </c>
      <c r="K61" s="19">
        <f>J61</f>
        <v>806.3184</v>
      </c>
      <c r="L61" s="19">
        <f>K61</f>
        <v>806.3184</v>
      </c>
      <c r="M61" s="20">
        <f>L61</f>
        <v>806.3184</v>
      </c>
      <c r="N61" s="19">
        <f>L61</f>
        <v>806.3184</v>
      </c>
      <c r="O61" s="19">
        <f>N61</f>
        <v>806.3184</v>
      </c>
      <c r="P61" s="19">
        <f>O61</f>
        <v>806.3184</v>
      </c>
      <c r="Q61" s="19">
        <f>P61</f>
        <v>806.3184</v>
      </c>
      <c r="R61" s="20">
        <f>Q61</f>
        <v>806.3184</v>
      </c>
      <c r="S61" s="19">
        <f>Q61</f>
        <v>806.3184</v>
      </c>
      <c r="T61" s="19">
        <f>S61</f>
        <v>806.3184</v>
      </c>
      <c r="U61" s="19">
        <f>T61</f>
        <v>806.3184</v>
      </c>
      <c r="V61" s="19">
        <f>U61</f>
        <v>806.3184</v>
      </c>
      <c r="W61" s="20">
        <f>V61</f>
        <v>806.3184</v>
      </c>
    </row>
    <row r="62" spans="1:24" ht="14.5">
      <c r="A62" s="17" t="s">
        <v>75</v>
      </c>
      <c r="B62" s="30">
        <v>0.3</v>
      </c>
      <c r="C62" s="30">
        <v>0.6</v>
      </c>
      <c r="H62" s="30">
        <v>0.8</v>
      </c>
      <c r="M62" s="31">
        <f>M63*IS!M26/M61</f>
        <v>0.82260733424831378</v>
      </c>
      <c r="R62" s="31">
        <f>R63*IS!R26/R61</f>
        <v>1.2291553109249393</v>
      </c>
      <c r="W62" s="31">
        <f>W63*IS!W26/W61</f>
        <v>1.52685063124127</v>
      </c>
    </row>
    <row r="63" spans="1:24" ht="14.5">
      <c r="A63" s="17" t="s">
        <v>76</v>
      </c>
      <c r="B63" s="25">
        <f>B62*B61/IS!B26</f>
        <v>0.37764895045525537</v>
      </c>
      <c r="C63" s="25">
        <f>C62*C61/IS!C26</f>
        <v>0.58142091423462039</v>
      </c>
      <c r="H63" s="25">
        <f>H62*H61/IS!H26</f>
        <v>0.63177710287289257</v>
      </c>
      <c r="M63" s="15">
        <v>0.6</v>
      </c>
      <c r="R63" s="15">
        <v>0.6</v>
      </c>
      <c r="W63" s="15">
        <v>0.6</v>
      </c>
    </row>
    <row r="64" spans="1:24" ht="14.5">
      <c r="A64" s="17" t="s">
        <v>77</v>
      </c>
      <c r="H64" s="32">
        <v>55.83</v>
      </c>
      <c r="M64" s="33">
        <f>$H$64</f>
        <v>55.83</v>
      </c>
      <c r="R64" s="33">
        <f>$H$64</f>
        <v>55.83</v>
      </c>
      <c r="W64" s="33">
        <f>$H$64</f>
        <v>55.83</v>
      </c>
    </row>
    <row r="65" spans="1:23" ht="14.5">
      <c r="A65" s="17" t="s">
        <v>78</v>
      </c>
      <c r="H65" s="34">
        <f>H64*H61</f>
        <v>45016.756271999999</v>
      </c>
      <c r="M65" s="35">
        <f>M64*M61</f>
        <v>45016.756271999999</v>
      </c>
      <c r="R65" s="35">
        <f>R64*R61</f>
        <v>45016.756271999999</v>
      </c>
      <c r="W65" s="35">
        <f>W64*W61</f>
        <v>45016.756271999999</v>
      </c>
    </row>
    <row r="66" spans="1:23" ht="14.5">
      <c r="A66" s="17" t="s">
        <v>79</v>
      </c>
      <c r="H66" s="36">
        <f>H57-BS!H7</f>
        <v>2782.183</v>
      </c>
      <c r="M66" s="37">
        <f>M57-BS!M7</f>
        <v>3936.1697429863525</v>
      </c>
      <c r="R66" s="37">
        <f>R57-BS!R7</f>
        <v>4349.1675925803156</v>
      </c>
      <c r="W66" s="37">
        <f>W57-BS!W7</f>
        <v>4449.2020358067493</v>
      </c>
    </row>
    <row r="67" spans="1:23" ht="14.5">
      <c r="A67" s="17" t="s">
        <v>80</v>
      </c>
      <c r="H67" s="34">
        <f>H65+H66</f>
        <v>47798.939271999996</v>
      </c>
      <c r="M67" s="35">
        <f>M65+M66</f>
        <v>48952.926014986355</v>
      </c>
      <c r="R67" s="35">
        <f>R65+R66</f>
        <v>49365.923864580313</v>
      </c>
      <c r="W67" s="35">
        <f>W65+W66</f>
        <v>49465.958307806752</v>
      </c>
    </row>
    <row r="68" spans="1:23" ht="14.5">
      <c r="A68" s="13" t="s">
        <v>81</v>
      </c>
      <c r="H68" s="38">
        <f>H67/IS!H34</f>
        <v>24.099924371952373</v>
      </c>
      <c r="M68" s="39">
        <f>M67/IS!M34</f>
        <v>22.509699444434904</v>
      </c>
      <c r="R68" s="39">
        <f>R67/IS!R34</f>
        <v>16.763052438836315</v>
      </c>
      <c r="W68" s="39">
        <f>W67/IS!W34</f>
        <v>13.960018231270496</v>
      </c>
    </row>
    <row r="69" spans="1:23" ht="14.5">
      <c r="A69" s="13" t="s">
        <v>82</v>
      </c>
      <c r="H69" s="38">
        <f>H65/IS!H26</f>
        <v>44.090144566741984</v>
      </c>
      <c r="M69" s="39">
        <f>M65/IS!M26</f>
        <v>40.721737584080699</v>
      </c>
      <c r="R69" s="39">
        <f>R65/IS!R26</f>
        <v>27.252861946951803</v>
      </c>
      <c r="W69" s="39">
        <f>W65/IS!W26</f>
        <v>21.939277696579548</v>
      </c>
    </row>
  </sheetData>
  <phoneticPr fontId="35" type="noConversion"/>
  <pageMargins left="0.75" right="0.75" top="1" bottom="1" header="0.5" footer="0.5"/>
  <ignoredErrors>
    <ignoredError sqref="M7:W24 M33:W69" formula="1"/>
  </ignoredError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9"/>
  <sheetViews>
    <sheetView showGridLines="0" workbookViewId="0">
      <pane xSplit="1" ySplit="5" topLeftCell="B6" activePane="bottomRight" state="frozen"/>
      <selection activeCell="AB50" sqref="AB50"/>
      <selection pane="topRight" activeCell="AB50" sqref="AB50"/>
      <selection pane="bottomLeft" activeCell="AB50" sqref="AB50"/>
      <selection pane="bottomRight" activeCell="AB50" sqref="AB50"/>
    </sheetView>
  </sheetViews>
  <sheetFormatPr defaultRowHeight="14"/>
  <cols>
    <col min="1" max="1" width="42" customWidth="1"/>
    <col min="2" max="23" width="10.453125" customWidth="1"/>
  </cols>
  <sheetData>
    <row r="1" spans="1:24" ht="16.5">
      <c r="A1" s="1" t="s">
        <v>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>
      <c r="A2" s="3" t="s">
        <v>84</v>
      </c>
    </row>
    <row r="3" spans="1:24">
      <c r="A3" s="4" t="s">
        <v>85</v>
      </c>
    </row>
    <row r="5" spans="1:24" ht="14.5">
      <c r="A5" s="2"/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6" t="s">
        <v>14</v>
      </c>
      <c r="N5" s="5" t="s">
        <v>15</v>
      </c>
      <c r="O5" s="5" t="s">
        <v>16</v>
      </c>
      <c r="P5" s="5" t="s">
        <v>17</v>
      </c>
      <c r="Q5" s="5" t="s">
        <v>18</v>
      </c>
      <c r="R5" s="6" t="s">
        <v>19</v>
      </c>
      <c r="S5" s="5" t="s">
        <v>20</v>
      </c>
      <c r="T5" s="5" t="s">
        <v>21</v>
      </c>
      <c r="U5" s="5" t="s">
        <v>22</v>
      </c>
      <c r="V5" s="5" t="s">
        <v>23</v>
      </c>
      <c r="W5" s="6" t="s">
        <v>24</v>
      </c>
    </row>
    <row r="6" spans="1:24" ht="14.5">
      <c r="A6" s="9" t="s">
        <v>86</v>
      </c>
      <c r="B6" s="10">
        <v>5040.4237000000003</v>
      </c>
      <c r="C6" s="10">
        <v>5896.9102000000003</v>
      </c>
      <c r="D6" s="10">
        <v>1460.7352000000001</v>
      </c>
      <c r="E6" s="10">
        <v>1763.4848</v>
      </c>
      <c r="F6" s="10">
        <v>1807.8059000000001</v>
      </c>
      <c r="G6" s="10">
        <v>1713.2655999999999</v>
      </c>
      <c r="H6" s="10">
        <v>6745.2914000000001</v>
      </c>
      <c r="I6" s="29">
        <f>Drivers!I23</f>
        <v>1683.998611</v>
      </c>
      <c r="J6" s="29">
        <f>Drivers!J23</f>
        <v>2031.9103416420862</v>
      </c>
      <c r="K6" s="29">
        <f>Drivers!K23</f>
        <v>2123.4176073593708</v>
      </c>
      <c r="L6" s="29">
        <f>Drivers!L23</f>
        <v>2113.0838609985431</v>
      </c>
      <c r="M6" s="12">
        <f>SUM(I6:L6)</f>
        <v>7952.4104209999996</v>
      </c>
      <c r="N6" s="29">
        <f>Drivers!N23</f>
        <v>2112.9121773280485</v>
      </c>
      <c r="O6" s="29">
        <f>Drivers!O23</f>
        <v>2441.9587493478543</v>
      </c>
      <c r="P6" s="29">
        <f>Drivers!P23</f>
        <v>2560.6068074238356</v>
      </c>
      <c r="Q6" s="29">
        <f>Drivers!Q23</f>
        <v>2579.9039086802622</v>
      </c>
      <c r="R6" s="12">
        <f>SUM(N6:Q6)</f>
        <v>9695.3816427800011</v>
      </c>
      <c r="S6" s="29">
        <f>Drivers!S23</f>
        <v>2533.5241427008727</v>
      </c>
      <c r="T6" s="29">
        <f>Drivers!T23</f>
        <v>2896.0771706469222</v>
      </c>
      <c r="U6" s="29">
        <f>Drivers!U23</f>
        <v>3028.6677333358311</v>
      </c>
      <c r="V6" s="29">
        <f>Drivers!V23</f>
        <v>3075.2020401133741</v>
      </c>
      <c r="W6" s="12">
        <f>SUM(S6:V6)</f>
        <v>11533.471086797001</v>
      </c>
    </row>
    <row r="7" spans="1:24" ht="14.5">
      <c r="A7" s="13" t="s">
        <v>36</v>
      </c>
      <c r="B7" s="14" t="str">
        <f>""</f>
        <v/>
      </c>
      <c r="C7" s="14">
        <f>C6/B6-1</f>
        <v>0.16992351258089666</v>
      </c>
      <c r="D7" s="14" t="str">
        <f>""</f>
        <v/>
      </c>
      <c r="E7" s="14" t="str">
        <f>""</f>
        <v/>
      </c>
      <c r="F7" s="14" t="str">
        <f>""</f>
        <v/>
      </c>
      <c r="G7" s="14" t="str">
        <f>""</f>
        <v/>
      </c>
      <c r="H7" s="14">
        <f t="shared" ref="H7:W7" si="0">H6/C6-1</f>
        <v>0.14386876707059226</v>
      </c>
      <c r="I7" s="14">
        <f t="shared" si="0"/>
        <v>0.15284317855830398</v>
      </c>
      <c r="J7" s="14">
        <f t="shared" si="0"/>
        <v>0.15221313029864869</v>
      </c>
      <c r="K7" s="14">
        <f t="shared" si="0"/>
        <v>0.17458273997190221</v>
      </c>
      <c r="L7" s="14">
        <f t="shared" si="0"/>
        <v>0.233366187355039</v>
      </c>
      <c r="M7" s="16">
        <f t="shared" si="0"/>
        <v>0.1789572828536361</v>
      </c>
      <c r="N7" s="14">
        <f t="shared" si="0"/>
        <v>0.25469947749740074</v>
      </c>
      <c r="O7" s="14">
        <f t="shared" si="0"/>
        <v>0.20180438048973559</v>
      </c>
      <c r="P7" s="14">
        <f t="shared" si="0"/>
        <v>0.20588941080136491</v>
      </c>
      <c r="Q7" s="14">
        <f t="shared" si="0"/>
        <v>0.2209188458148188</v>
      </c>
      <c r="R7" s="16">
        <f t="shared" si="0"/>
        <v>0.21917520971720994</v>
      </c>
      <c r="S7" s="14">
        <f t="shared" si="0"/>
        <v>0.1990674150521119</v>
      </c>
      <c r="T7" s="14">
        <f t="shared" si="0"/>
        <v>0.18596482083095967</v>
      </c>
      <c r="U7" s="14">
        <f t="shared" si="0"/>
        <v>0.18279297100787617</v>
      </c>
      <c r="V7" s="14">
        <f t="shared" si="0"/>
        <v>0.1919831702904311</v>
      </c>
      <c r="W7" s="16">
        <f t="shared" si="0"/>
        <v>0.1895840217270659</v>
      </c>
    </row>
    <row r="8" spans="1:24" ht="14.5">
      <c r="A8" s="17" t="s">
        <v>87</v>
      </c>
      <c r="B8" s="18">
        <v>-3258.7105999999999</v>
      </c>
      <c r="C8" s="18">
        <v>-3744.7691</v>
      </c>
      <c r="D8" s="18">
        <v>-926.65060000000005</v>
      </c>
      <c r="E8" s="18">
        <v>-1114.8524</v>
      </c>
      <c r="F8" s="18">
        <v>-1141.7585999999999</v>
      </c>
      <c r="G8" s="18">
        <v>-1090.8163999999999</v>
      </c>
      <c r="H8" s="18">
        <v>-4274.0779000000002</v>
      </c>
      <c r="I8" s="26">
        <f>-(I6-Drivers!I33)</f>
        <v>-1142.0167228799999</v>
      </c>
      <c r="J8" s="26">
        <f>-(J6-Drivers!J33)</f>
        <v>-1327.7829187035081</v>
      </c>
      <c r="K8" s="26">
        <f>-(K6-Drivers!K33)</f>
        <v>-1352.6450822864167</v>
      </c>
      <c r="L8" s="26">
        <f>-(L6-Drivers!L33)</f>
        <v>-1333.5860476697903</v>
      </c>
      <c r="M8" s="20">
        <f>SUM(I8:L8)</f>
        <v>-5156.0307715397148</v>
      </c>
      <c r="N8" s="26">
        <f>-(N6-Drivers!N33)</f>
        <v>-1302.4580857361836</v>
      </c>
      <c r="O8" s="26">
        <f>-(O6-Drivers!O33)</f>
        <v>-1501.373893229586</v>
      </c>
      <c r="P8" s="26">
        <f>-(P6-Drivers!P33)</f>
        <v>-1584.048392089418</v>
      </c>
      <c r="Q8" s="26">
        <f>-(Q6-Drivers!Q33)</f>
        <v>-1596.1818705850128</v>
      </c>
      <c r="R8" s="20">
        <f>SUM(N8:Q8)</f>
        <v>-5984.0622416402002</v>
      </c>
      <c r="S8" s="26">
        <f>-(S6-Drivers!S33)</f>
        <v>-1546.360550408679</v>
      </c>
      <c r="T8" s="26">
        <f>-(T6-Drivers!T33)</f>
        <v>-1763.6718838995432</v>
      </c>
      <c r="U8" s="26">
        <f>-(U6-Drivers!U33)</f>
        <v>-1856.9684400557774</v>
      </c>
      <c r="V8" s="26">
        <f>-(V6-Drivers!V33)</f>
        <v>-1886.2794460742609</v>
      </c>
      <c r="W8" s="20">
        <f>SUM(S8:V8)</f>
        <v>-7053.2803204382599</v>
      </c>
    </row>
    <row r="9" spans="1:24" ht="14.5">
      <c r="A9" s="9" t="s">
        <v>88</v>
      </c>
      <c r="B9" s="11">
        <f t="shared" ref="B9:L9" si="1">B6+B8</f>
        <v>1781.7131000000004</v>
      </c>
      <c r="C9" s="11">
        <f t="shared" si="1"/>
        <v>2152.1411000000003</v>
      </c>
      <c r="D9" s="11">
        <f t="shared" si="1"/>
        <v>534.08460000000002</v>
      </c>
      <c r="E9" s="11">
        <f t="shared" si="1"/>
        <v>648.63239999999996</v>
      </c>
      <c r="F9" s="11">
        <f t="shared" si="1"/>
        <v>666.04730000000018</v>
      </c>
      <c r="G9" s="11">
        <f t="shared" si="1"/>
        <v>622.44920000000002</v>
      </c>
      <c r="H9" s="11">
        <f t="shared" si="1"/>
        <v>2471.2134999999998</v>
      </c>
      <c r="I9" s="11">
        <f t="shared" si="1"/>
        <v>541.98188812000012</v>
      </c>
      <c r="J9" s="11">
        <f t="shared" si="1"/>
        <v>704.12742293857809</v>
      </c>
      <c r="K9" s="11">
        <f t="shared" si="1"/>
        <v>770.77252507295407</v>
      </c>
      <c r="L9" s="11">
        <f t="shared" si="1"/>
        <v>779.49781332875273</v>
      </c>
      <c r="M9" s="12">
        <f>SUM(I9:L9)</f>
        <v>2796.3796494602848</v>
      </c>
      <c r="N9" s="11">
        <f>N6+N8</f>
        <v>810.45409159186488</v>
      </c>
      <c r="O9" s="11">
        <f>O6+O8</f>
        <v>940.58485611826836</v>
      </c>
      <c r="P9" s="11">
        <f>P6+P8</f>
        <v>976.55841533441753</v>
      </c>
      <c r="Q9" s="11">
        <f>Q6+Q8</f>
        <v>983.72203809524945</v>
      </c>
      <c r="R9" s="12">
        <f>SUM(N9:Q9)</f>
        <v>3711.3194011398</v>
      </c>
      <c r="S9" s="11">
        <f>S6+S8</f>
        <v>987.1635922921937</v>
      </c>
      <c r="T9" s="11">
        <f>T6+T8</f>
        <v>1132.405286747379</v>
      </c>
      <c r="U9" s="11">
        <f>U6+U8</f>
        <v>1171.6992932800538</v>
      </c>
      <c r="V9" s="11">
        <f>V6+V8</f>
        <v>1188.9225940391132</v>
      </c>
      <c r="W9" s="12">
        <f>SUM(S9:V9)</f>
        <v>4480.1907663587399</v>
      </c>
    </row>
    <row r="10" spans="1:24" ht="14.5">
      <c r="A10" s="13" t="s">
        <v>89</v>
      </c>
      <c r="B10" s="40">
        <f t="shared" ref="B10:W10" si="2">B9/B6</f>
        <v>0.35348478739991646</v>
      </c>
      <c r="C10" s="40">
        <f t="shared" si="2"/>
        <v>0.36496080608451525</v>
      </c>
      <c r="D10" s="40">
        <f t="shared" si="2"/>
        <v>0.36562725400195739</v>
      </c>
      <c r="E10" s="40">
        <f t="shared" si="2"/>
        <v>0.36781286688719972</v>
      </c>
      <c r="F10" s="40">
        <f t="shared" si="2"/>
        <v>0.36842854644959405</v>
      </c>
      <c r="G10" s="40">
        <f t="shared" si="2"/>
        <v>0.36331156126639091</v>
      </c>
      <c r="H10" s="40">
        <f t="shared" si="2"/>
        <v>0.36636126646804312</v>
      </c>
      <c r="I10" s="40">
        <f t="shared" si="2"/>
        <v>0.32184224178080401</v>
      </c>
      <c r="J10" s="40">
        <f t="shared" si="2"/>
        <v>0.34653469127458558</v>
      </c>
      <c r="K10" s="40">
        <f t="shared" si="2"/>
        <v>0.36298678244053351</v>
      </c>
      <c r="L10" s="40">
        <f t="shared" si="2"/>
        <v>0.368891092169148</v>
      </c>
      <c r="M10" s="41">
        <f t="shared" si="2"/>
        <v>0.35163925167592719</v>
      </c>
      <c r="N10" s="40">
        <f t="shared" si="2"/>
        <v>0.38357206716312781</v>
      </c>
      <c r="O10" s="40">
        <f t="shared" si="2"/>
        <v>0.38517639021112027</v>
      </c>
      <c r="P10" s="40">
        <f t="shared" si="2"/>
        <v>0.38137773144362969</v>
      </c>
      <c r="Q10" s="40">
        <f t="shared" si="2"/>
        <v>0.38130181313553957</v>
      </c>
      <c r="R10" s="41">
        <f t="shared" si="2"/>
        <v>0.38279250243888663</v>
      </c>
      <c r="S10" s="40">
        <f t="shared" si="2"/>
        <v>0.38964049154069808</v>
      </c>
      <c r="T10" s="40">
        <f t="shared" si="2"/>
        <v>0.39101350551871644</v>
      </c>
      <c r="U10" s="40">
        <f t="shared" si="2"/>
        <v>0.38686954015570479</v>
      </c>
      <c r="V10" s="40">
        <f t="shared" si="2"/>
        <v>0.38661609173336814</v>
      </c>
      <c r="W10" s="41">
        <f t="shared" si="2"/>
        <v>0.38845120715544695</v>
      </c>
    </row>
    <row r="11" spans="1:24" ht="14.5">
      <c r="A11" s="17" t="s">
        <v>90</v>
      </c>
      <c r="B11" s="18">
        <v>-72.704099999999997</v>
      </c>
      <c r="C11" s="18">
        <v>-79.139700000000005</v>
      </c>
      <c r="D11" s="18">
        <v>-18.5945</v>
      </c>
      <c r="E11" s="18">
        <v>-19.466799999999999</v>
      </c>
      <c r="F11" s="18">
        <v>-20.837399999999999</v>
      </c>
      <c r="G11" s="18">
        <v>-19.602</v>
      </c>
      <c r="H11" s="18">
        <v>-78.500799999999998</v>
      </c>
      <c r="I11" s="26">
        <f>-I6*Drivers!I36</f>
        <v>-19.365984026499998</v>
      </c>
      <c r="J11" s="26">
        <f>-J6*Drivers!J36</f>
        <v>-23.366968928883992</v>
      </c>
      <c r="K11" s="26">
        <f>-K6*Drivers!K36</f>
        <v>-24.419302484632762</v>
      </c>
      <c r="L11" s="26">
        <f>-L6*Drivers!L36</f>
        <v>-24.300464401483246</v>
      </c>
      <c r="M11" s="20">
        <f t="shared" ref="M11:M19" si="3">SUM(I11:L11)</f>
        <v>-91.452719841499999</v>
      </c>
      <c r="N11" s="26">
        <f>-N6*Drivers!N36</f>
        <v>-24.298490039272558</v>
      </c>
      <c r="O11" s="26">
        <f>-O6*Drivers!O36</f>
        <v>-28.082525617500323</v>
      </c>
      <c r="P11" s="26">
        <f>-P6*Drivers!P36</f>
        <v>-29.446978285374108</v>
      </c>
      <c r="Q11" s="26">
        <f>-Q6*Drivers!Q36</f>
        <v>-29.668894949823017</v>
      </c>
      <c r="R11" s="20">
        <f t="shared" ref="R11:R19" si="4">SUM(N11:Q11)</f>
        <v>-111.49688889197</v>
      </c>
      <c r="S11" s="26">
        <f>-S6*Drivers!S36</f>
        <v>-29.135527641060037</v>
      </c>
      <c r="T11" s="26">
        <f>-T6*Drivers!T36</f>
        <v>-33.304887462439602</v>
      </c>
      <c r="U11" s="26">
        <f>-U6*Drivers!U36</f>
        <v>-34.829678933362061</v>
      </c>
      <c r="V11" s="26">
        <f>-V6*Drivers!V36</f>
        <v>-35.3648234613038</v>
      </c>
      <c r="W11" s="20">
        <f t="shared" ref="W11:W19" si="5">SUM(S11:V11)</f>
        <v>-132.63491749816552</v>
      </c>
    </row>
    <row r="12" spans="1:24" ht="14.5">
      <c r="A12" s="17" t="s">
        <v>91</v>
      </c>
      <c r="B12" s="18">
        <v>-106.3746</v>
      </c>
      <c r="C12" s="18">
        <v>-103.1142</v>
      </c>
      <c r="D12" s="18">
        <v>-24.508900000000001</v>
      </c>
      <c r="E12" s="18">
        <v>-32.341900000000003</v>
      </c>
      <c r="F12" s="18">
        <v>-24.120200000000001</v>
      </c>
      <c r="G12" s="18">
        <v>-33.688200000000002</v>
      </c>
      <c r="H12" s="18">
        <v>-114.6592</v>
      </c>
      <c r="I12" s="26">
        <f>-I6*Drivers!I37</f>
        <v>-26.101978470500001</v>
      </c>
      <c r="J12" s="26">
        <f>-J6*Drivers!J37</f>
        <v>-32.510565466273377</v>
      </c>
      <c r="K12" s="26">
        <f>-K6*Drivers!K37</f>
        <v>-33.974681717749931</v>
      </c>
      <c r="L12" s="26">
        <f>-L6*Drivers!L37</f>
        <v>-33.809341775976691</v>
      </c>
      <c r="M12" s="20">
        <f t="shared" si="3"/>
        <v>-126.3965674305</v>
      </c>
      <c r="N12" s="26">
        <f>-N6*Drivers!N37</f>
        <v>-33.806594837248774</v>
      </c>
      <c r="O12" s="26">
        <f>-O6*Drivers!O37</f>
        <v>-39.071339989565672</v>
      </c>
      <c r="P12" s="26">
        <f>-P6*Drivers!P37</f>
        <v>-40.969708918781372</v>
      </c>
      <c r="Q12" s="26">
        <f>-Q6*Drivers!Q37</f>
        <v>-41.278462538884199</v>
      </c>
      <c r="R12" s="20">
        <f t="shared" si="4"/>
        <v>-155.12610628448004</v>
      </c>
      <c r="S12" s="26">
        <f>-S6*Drivers!S37</f>
        <v>-40.536386283213965</v>
      </c>
      <c r="T12" s="26">
        <f>-T6*Drivers!T37</f>
        <v>-46.337234730350758</v>
      </c>
      <c r="U12" s="26">
        <f>-U6*Drivers!U37</f>
        <v>-48.458683733373299</v>
      </c>
      <c r="V12" s="26">
        <f>-V6*Drivers!V37</f>
        <v>-49.203232641813983</v>
      </c>
      <c r="W12" s="20">
        <f t="shared" si="5"/>
        <v>-184.535537388752</v>
      </c>
    </row>
    <row r="13" spans="1:24" ht="14.5">
      <c r="A13" s="17" t="s">
        <v>92</v>
      </c>
      <c r="B13" s="18">
        <v>-281.67320000000001</v>
      </c>
      <c r="C13" s="18">
        <v>-303.9153</v>
      </c>
      <c r="D13" s="18">
        <v>-73.818600000000004</v>
      </c>
      <c r="E13" s="18">
        <v>-87.198099999999997</v>
      </c>
      <c r="F13" s="18">
        <v>-87.096999999999994</v>
      </c>
      <c r="G13" s="18">
        <v>-98.653199999999998</v>
      </c>
      <c r="H13" s="18">
        <v>-346.76690000000002</v>
      </c>
      <c r="I13" s="26">
        <f>-I6*Drivers!I38</f>
        <v>-84.199930550000005</v>
      </c>
      <c r="J13" s="26">
        <f>-J6*Drivers!J38</f>
        <v>-99.563606740462234</v>
      </c>
      <c r="K13" s="26">
        <f>-K6*Drivers!K38</f>
        <v>-104.04746276060918</v>
      </c>
      <c r="L13" s="26">
        <f>-L6*Drivers!L38</f>
        <v>-103.54110918892862</v>
      </c>
      <c r="M13" s="20">
        <f t="shared" si="3"/>
        <v>-391.35210924</v>
      </c>
      <c r="N13" s="26">
        <f>-N6*Drivers!N38</f>
        <v>-99.306872334418287</v>
      </c>
      <c r="O13" s="26">
        <f>-O6*Drivers!O38</f>
        <v>-114.77206121934915</v>
      </c>
      <c r="P13" s="26">
        <f>-P6*Drivers!P38</f>
        <v>-120.34851994892027</v>
      </c>
      <c r="Q13" s="26">
        <f>-Q6*Drivers!Q38</f>
        <v>-121.25548370797233</v>
      </c>
      <c r="R13" s="20">
        <f t="shared" si="4"/>
        <v>-455.68293721066004</v>
      </c>
      <c r="S13" s="26">
        <f>-S6*Drivers!S38</f>
        <v>-116.54211056424015</v>
      </c>
      <c r="T13" s="26">
        <f>-T6*Drivers!T38</f>
        <v>-133.21954984975841</v>
      </c>
      <c r="U13" s="26">
        <f>-U6*Drivers!U38</f>
        <v>-139.31871573344824</v>
      </c>
      <c r="V13" s="26">
        <f>-V6*Drivers!V38</f>
        <v>-141.4592938452152</v>
      </c>
      <c r="W13" s="20">
        <f t="shared" si="5"/>
        <v>-530.53966999266208</v>
      </c>
    </row>
    <row r="14" spans="1:24" ht="14.5">
      <c r="A14" s="17" t="s">
        <v>93</v>
      </c>
      <c r="B14" s="18">
        <v>-383.7568</v>
      </c>
      <c r="C14" s="18">
        <v>-504.7509</v>
      </c>
      <c r="D14" s="18">
        <v>-115.52200000000001</v>
      </c>
      <c r="E14" s="18">
        <v>-161.77959999999999</v>
      </c>
      <c r="F14" s="18">
        <v>-177.00299999999999</v>
      </c>
      <c r="G14" s="18">
        <v>-165.17740000000001</v>
      </c>
      <c r="H14" s="18">
        <v>-619.48209999999995</v>
      </c>
      <c r="I14" s="26">
        <f>-I6*Drivers!I39</f>
        <v>-171.767858322</v>
      </c>
      <c r="J14" s="26">
        <f>-J6*Drivers!J39</f>
        <v>-188.96766177271402</v>
      </c>
      <c r="K14" s="26">
        <f>-K6*Drivers!K39</f>
        <v>-197.47783748442149</v>
      </c>
      <c r="L14" s="26">
        <f>-L6*Drivers!L39</f>
        <v>-196.5167990728645</v>
      </c>
      <c r="M14" s="20">
        <f t="shared" si="3"/>
        <v>-754.73015665200001</v>
      </c>
      <c r="N14" s="26">
        <f>-N6*Drivers!N39</f>
        <v>-188.04918378219631</v>
      </c>
      <c r="O14" s="26">
        <f>-O6*Drivers!O39</f>
        <v>-217.33432869195903</v>
      </c>
      <c r="P14" s="26">
        <f>-P6*Drivers!P39</f>
        <v>-227.89400586072136</v>
      </c>
      <c r="Q14" s="26">
        <f>-Q6*Drivers!Q39</f>
        <v>-229.61144787254332</v>
      </c>
      <c r="R14" s="20">
        <f t="shared" si="4"/>
        <v>-862.88896620742003</v>
      </c>
      <c r="S14" s="26">
        <f>-S6*Drivers!S39</f>
        <v>-217.88307627227505</v>
      </c>
      <c r="T14" s="26">
        <f>-T6*Drivers!T39</f>
        <v>-249.0626366756353</v>
      </c>
      <c r="U14" s="26">
        <f>-U6*Drivers!U39</f>
        <v>-260.46542506688144</v>
      </c>
      <c r="V14" s="26">
        <f>-V6*Drivers!V39</f>
        <v>-264.46737544975014</v>
      </c>
      <c r="W14" s="20">
        <f t="shared" si="5"/>
        <v>-991.87851346454181</v>
      </c>
    </row>
    <row r="15" spans="1:24" ht="14.5">
      <c r="A15" s="17" t="s">
        <v>94</v>
      </c>
      <c r="B15" s="18">
        <v>-73.1935</v>
      </c>
      <c r="C15" s="18">
        <v>-88.394300000000001</v>
      </c>
      <c r="D15" s="18">
        <v>-21.800599999999999</v>
      </c>
      <c r="E15" s="18">
        <v>-17.087900000000001</v>
      </c>
      <c r="F15" s="18">
        <v>-24.427299999999999</v>
      </c>
      <c r="G15" s="18">
        <v>-22.422999999999998</v>
      </c>
      <c r="H15" s="18">
        <v>-85.738799999999998</v>
      </c>
      <c r="I15" s="26">
        <f>-Drivers!I59</f>
        <v>-22.318660120000001</v>
      </c>
      <c r="J15" s="26">
        <f>-Drivers!J59</f>
        <v>-24.528660120000001</v>
      </c>
      <c r="K15" s="26">
        <f>-Drivers!K59</f>
        <v>-26.908660119999997</v>
      </c>
      <c r="L15" s="26">
        <f>-Drivers!L59</f>
        <v>-28.438660119999998</v>
      </c>
      <c r="M15" s="20">
        <f t="shared" si="3"/>
        <v>-102.19464047999999</v>
      </c>
      <c r="N15" s="26">
        <f>-Drivers!N59</f>
        <v>-29.458660119999998</v>
      </c>
      <c r="O15" s="26">
        <f>-Drivers!O59</f>
        <v>-30.818660119999997</v>
      </c>
      <c r="P15" s="26">
        <f>-Drivers!P59</f>
        <v>-32.178660119999996</v>
      </c>
      <c r="Q15" s="26">
        <f>-Drivers!Q59</f>
        <v>-33.538660119999996</v>
      </c>
      <c r="R15" s="20">
        <f t="shared" si="4"/>
        <v>-125.99464047999999</v>
      </c>
      <c r="S15" s="26">
        <f>-Drivers!S59</f>
        <v>-34.728660119999994</v>
      </c>
      <c r="T15" s="26">
        <f>-Drivers!T59</f>
        <v>-35.748660119999997</v>
      </c>
      <c r="U15" s="26">
        <f>-Drivers!U59</f>
        <v>-36.768660119999993</v>
      </c>
      <c r="V15" s="26">
        <f>-Drivers!V59</f>
        <v>-37.788660119999996</v>
      </c>
      <c r="W15" s="20">
        <f t="shared" si="5"/>
        <v>-145.03464047999998</v>
      </c>
    </row>
    <row r="16" spans="1:24" ht="14.5">
      <c r="A16" s="17" t="s">
        <v>95</v>
      </c>
      <c r="B16" s="18">
        <v>81.452799999999996</v>
      </c>
      <c r="C16" s="18">
        <v>103.9494</v>
      </c>
      <c r="D16" s="18">
        <v>21.4832</v>
      </c>
      <c r="E16" s="18">
        <v>16.993099999999998</v>
      </c>
      <c r="F16" s="18">
        <v>18.1189</v>
      </c>
      <c r="G16" s="18">
        <v>35.622</v>
      </c>
      <c r="H16" s="18">
        <v>92.217200000000005</v>
      </c>
      <c r="I16" s="26">
        <f>Drivers!I40</f>
        <v>22</v>
      </c>
      <c r="J16" s="26">
        <f>Drivers!J40</f>
        <v>25</v>
      </c>
      <c r="K16" s="26">
        <f>Drivers!K40</f>
        <v>25</v>
      </c>
      <c r="L16" s="26">
        <f>Drivers!L40</f>
        <v>28</v>
      </c>
      <c r="M16" s="20">
        <f t="shared" si="3"/>
        <v>100</v>
      </c>
      <c r="N16" s="26">
        <f>Drivers!N40</f>
        <v>27</v>
      </c>
      <c r="O16" s="26">
        <f>Drivers!O40</f>
        <v>27</v>
      </c>
      <c r="P16" s="26">
        <f>Drivers!P40</f>
        <v>27</v>
      </c>
      <c r="Q16" s="26">
        <f>Drivers!Q40</f>
        <v>27</v>
      </c>
      <c r="R16" s="20">
        <f t="shared" si="4"/>
        <v>108</v>
      </c>
      <c r="S16" s="26">
        <f>Drivers!S40</f>
        <v>28</v>
      </c>
      <c r="T16" s="26">
        <f>Drivers!T40</f>
        <v>28</v>
      </c>
      <c r="U16" s="26">
        <f>Drivers!U40</f>
        <v>28</v>
      </c>
      <c r="V16" s="26">
        <f>Drivers!V40</f>
        <v>28</v>
      </c>
      <c r="W16" s="20">
        <f t="shared" si="5"/>
        <v>112</v>
      </c>
    </row>
    <row r="17" spans="1:23" ht="14.5">
      <c r="A17" s="17" t="s">
        <v>96</v>
      </c>
      <c r="B17" s="18">
        <v>1.4220999999999999</v>
      </c>
      <c r="C17" s="18">
        <v>-5.4835000000000003</v>
      </c>
      <c r="D17" s="18">
        <v>3.1461000000000001</v>
      </c>
      <c r="E17" s="18">
        <v>-0.40379999999999999</v>
      </c>
      <c r="F17" s="18">
        <v>1.2452000000000001</v>
      </c>
      <c r="G17" s="18">
        <v>1.9531000000000001</v>
      </c>
      <c r="H17" s="18">
        <v>5.9405999999999999</v>
      </c>
      <c r="I17" s="26">
        <f>Drivers!I41</f>
        <v>2.5</v>
      </c>
      <c r="J17" s="26">
        <f>Drivers!J41</f>
        <v>2.5</v>
      </c>
      <c r="K17" s="26">
        <f>Drivers!K41</f>
        <v>2.5</v>
      </c>
      <c r="L17" s="26">
        <f>Drivers!L41</f>
        <v>2.5</v>
      </c>
      <c r="M17" s="20">
        <f t="shared" si="3"/>
        <v>10</v>
      </c>
      <c r="N17" s="26">
        <f>Drivers!N41</f>
        <v>2.5</v>
      </c>
      <c r="O17" s="26">
        <f>Drivers!O41</f>
        <v>2.5</v>
      </c>
      <c r="P17" s="26">
        <f>Drivers!P41</f>
        <v>2.5</v>
      </c>
      <c r="Q17" s="26">
        <f>Drivers!Q41</f>
        <v>2.5</v>
      </c>
      <c r="R17" s="20">
        <f t="shared" si="4"/>
        <v>10</v>
      </c>
      <c r="S17" s="26">
        <f>Drivers!S41</f>
        <v>2.5</v>
      </c>
      <c r="T17" s="26">
        <f>Drivers!T41</f>
        <v>2.5</v>
      </c>
      <c r="U17" s="26">
        <f>Drivers!U41</f>
        <v>2.5</v>
      </c>
      <c r="V17" s="26">
        <f>Drivers!V41</f>
        <v>2.5</v>
      </c>
      <c r="W17" s="20">
        <f t="shared" si="5"/>
        <v>10</v>
      </c>
    </row>
    <row r="18" spans="1:23" ht="14.5">
      <c r="A18" s="17" t="s">
        <v>97</v>
      </c>
      <c r="B18" s="18">
        <v>-102.5097</v>
      </c>
      <c r="C18" s="18">
        <v>-80.236500000000007</v>
      </c>
      <c r="D18" s="18">
        <v>-1.7196</v>
      </c>
      <c r="E18" s="18">
        <v>-0.94720000000000004</v>
      </c>
      <c r="F18" s="18">
        <v>-9.8427000000000007</v>
      </c>
      <c r="G18" s="18">
        <v>-29.871500000000001</v>
      </c>
      <c r="H18" s="18">
        <v>-42.381</v>
      </c>
      <c r="I18" s="26">
        <f>Drivers!I42</f>
        <v>-10.5</v>
      </c>
      <c r="J18" s="26">
        <f>Drivers!J42</f>
        <v>-10</v>
      </c>
      <c r="K18" s="26">
        <f>Drivers!K42</f>
        <v>-10</v>
      </c>
      <c r="L18" s="26">
        <f>Drivers!L42</f>
        <v>-14</v>
      </c>
      <c r="M18" s="20">
        <f t="shared" si="3"/>
        <v>-44.5</v>
      </c>
      <c r="N18" s="26">
        <f>Drivers!N42</f>
        <v>-12</v>
      </c>
      <c r="O18" s="26">
        <f>Drivers!O42</f>
        <v>-12</v>
      </c>
      <c r="P18" s="26">
        <f>Drivers!P42</f>
        <v>-12</v>
      </c>
      <c r="Q18" s="26">
        <f>Drivers!Q42</f>
        <v>-12</v>
      </c>
      <c r="R18" s="20">
        <f t="shared" si="4"/>
        <v>-48</v>
      </c>
      <c r="S18" s="26">
        <f>Drivers!S42</f>
        <v>-12</v>
      </c>
      <c r="T18" s="26">
        <f>Drivers!T42</f>
        <v>-12</v>
      </c>
      <c r="U18" s="26">
        <f>Drivers!U42</f>
        <v>-12</v>
      </c>
      <c r="V18" s="26">
        <f>Drivers!V42</f>
        <v>-12</v>
      </c>
      <c r="W18" s="20">
        <f t="shared" si="5"/>
        <v>-48</v>
      </c>
    </row>
    <row r="19" spans="1:23" ht="14.5">
      <c r="A19" s="9" t="s">
        <v>98</v>
      </c>
      <c r="B19" s="11">
        <f t="shared" ref="B19:L19" si="6">B9+B11+B12+B13+B14+B15+B16+B17+B18</f>
        <v>844.37610000000052</v>
      </c>
      <c r="C19" s="11">
        <f t="shared" si="6"/>
        <v>1091.0561</v>
      </c>
      <c r="D19" s="11">
        <f t="shared" si="6"/>
        <v>302.74970000000002</v>
      </c>
      <c r="E19" s="11">
        <f t="shared" si="6"/>
        <v>346.40019999999993</v>
      </c>
      <c r="F19" s="11">
        <f t="shared" si="6"/>
        <v>342.08380000000028</v>
      </c>
      <c r="G19" s="11">
        <f t="shared" si="6"/>
        <v>290.60899999999998</v>
      </c>
      <c r="H19" s="11">
        <f t="shared" si="6"/>
        <v>1281.8424999999997</v>
      </c>
      <c r="I19" s="11">
        <f t="shared" si="6"/>
        <v>232.22747663100012</v>
      </c>
      <c r="J19" s="11">
        <f t="shared" si="6"/>
        <v>352.68995991024445</v>
      </c>
      <c r="K19" s="11">
        <f t="shared" si="6"/>
        <v>401.44458050554073</v>
      </c>
      <c r="L19" s="11">
        <f t="shared" si="6"/>
        <v>409.39143876949959</v>
      </c>
      <c r="M19" s="12">
        <f t="shared" si="3"/>
        <v>1395.7534558162847</v>
      </c>
      <c r="N19" s="11">
        <f>N9+N11+N12+N13+N14+N15+N16+N17+N18</f>
        <v>453.03429047872896</v>
      </c>
      <c r="O19" s="11">
        <f>O9+O11+O12+O13+O14+O15+O16+O17+O18</f>
        <v>528.00594047989409</v>
      </c>
      <c r="P19" s="11">
        <f>P9+P11+P12+P13+P14+P15+P16+P17+P18</f>
        <v>543.22054220062034</v>
      </c>
      <c r="Q19" s="11">
        <f>Q9+Q11+Q12+Q13+Q14+Q15+Q16+Q17+Q18</f>
        <v>545.8690889060266</v>
      </c>
      <c r="R19" s="12">
        <f t="shared" si="4"/>
        <v>2070.1298620652701</v>
      </c>
      <c r="S19" s="11">
        <f>S9+S11+S12+S13+S14+S15+S16+S17+S18</f>
        <v>566.83783141140464</v>
      </c>
      <c r="T19" s="11">
        <f>T9+T11+T12+T13+T14+T15+T16+T17+T18</f>
        <v>653.23231790919499</v>
      </c>
      <c r="U19" s="11">
        <f>U9+U11+U12+U13+U14+U15+U16+U17+U18</f>
        <v>670.35812969298877</v>
      </c>
      <c r="V19" s="11">
        <f>V9+V11+V12+V13+V14+V15+V16+V17+V18</f>
        <v>679.13920852103024</v>
      </c>
      <c r="W19" s="12">
        <f t="shared" si="5"/>
        <v>2569.5674875346185</v>
      </c>
    </row>
    <row r="20" spans="1:23" ht="14.5">
      <c r="A20" s="13" t="s">
        <v>99</v>
      </c>
      <c r="B20" s="40">
        <f t="shared" ref="B20:W20" si="7">B19/B6</f>
        <v>0.16752085742315681</v>
      </c>
      <c r="C20" s="40">
        <f t="shared" si="7"/>
        <v>0.18502165761316833</v>
      </c>
      <c r="D20" s="40">
        <f t="shared" si="7"/>
        <v>0.20725844081802094</v>
      </c>
      <c r="E20" s="40">
        <f t="shared" si="7"/>
        <v>0.19642936531122918</v>
      </c>
      <c r="F20" s="40">
        <f t="shared" si="7"/>
        <v>0.18922595617151169</v>
      </c>
      <c r="G20" s="40">
        <f t="shared" si="7"/>
        <v>0.16962285357273268</v>
      </c>
      <c r="H20" s="40">
        <f t="shared" si="7"/>
        <v>0.19003515548638858</v>
      </c>
      <c r="I20" s="40">
        <f t="shared" si="7"/>
        <v>0.13790241578233708</v>
      </c>
      <c r="J20" s="40">
        <f t="shared" si="7"/>
        <v>0.17357555236675376</v>
      </c>
      <c r="K20" s="40">
        <f t="shared" si="7"/>
        <v>0.18905587818157316</v>
      </c>
      <c r="L20" s="40">
        <f t="shared" si="7"/>
        <v>0.19374121696052357</v>
      </c>
      <c r="M20" s="41">
        <f t="shared" si="7"/>
        <v>0.17551325722959499</v>
      </c>
      <c r="N20" s="40">
        <f t="shared" si="7"/>
        <v>0.21441226726783702</v>
      </c>
      <c r="O20" s="40">
        <f t="shared" si="7"/>
        <v>0.21622230130664677</v>
      </c>
      <c r="P20" s="40">
        <f t="shared" si="7"/>
        <v>0.21214523863081555</v>
      </c>
      <c r="Q20" s="40">
        <f t="shared" si="7"/>
        <v>0.21158504666371988</v>
      </c>
      <c r="R20" s="41">
        <f t="shared" si="7"/>
        <v>0.21351710931429538</v>
      </c>
      <c r="S20" s="40">
        <f t="shared" si="7"/>
        <v>0.22373492395739519</v>
      </c>
      <c r="T20" s="40">
        <f t="shared" si="7"/>
        <v>0.2255576351797548</v>
      </c>
      <c r="U20" s="40">
        <f t="shared" si="7"/>
        <v>0.2213376272063505</v>
      </c>
      <c r="V20" s="40">
        <f t="shared" si="7"/>
        <v>0.22084376885233606</v>
      </c>
      <c r="W20" s="41">
        <f t="shared" si="7"/>
        <v>0.22279220784418871</v>
      </c>
    </row>
    <row r="21" spans="1:23" ht="14.5">
      <c r="A21" s="17" t="s">
        <v>100</v>
      </c>
      <c r="B21" s="18">
        <v>-4.6157000000000004</v>
      </c>
      <c r="C21" s="18">
        <v>-7.8080999999999996</v>
      </c>
      <c r="D21" s="18">
        <v>-2.2301000000000002</v>
      </c>
      <c r="E21" s="18">
        <v>-2.6528</v>
      </c>
      <c r="F21" s="18">
        <v>-0.7167</v>
      </c>
      <c r="G21" s="18">
        <v>-1.9206000000000001</v>
      </c>
      <c r="H21" s="18">
        <v>-7.5202</v>
      </c>
      <c r="I21" s="26">
        <f>Drivers!I43</f>
        <v>-2</v>
      </c>
      <c r="J21" s="26">
        <f>Drivers!J43</f>
        <v>-2</v>
      </c>
      <c r="K21" s="26">
        <f>Drivers!K43</f>
        <v>-2</v>
      </c>
      <c r="L21" s="26">
        <f>Drivers!L43</f>
        <v>-2</v>
      </c>
      <c r="M21" s="20">
        <f t="shared" ref="M21:M26" si="8">SUM(I21:L21)</f>
        <v>-8</v>
      </c>
      <c r="N21" s="26">
        <f>Drivers!N43</f>
        <v>-2</v>
      </c>
      <c r="O21" s="26">
        <f>Drivers!O43</f>
        <v>-2</v>
      </c>
      <c r="P21" s="26">
        <f>Drivers!P43</f>
        <v>-2</v>
      </c>
      <c r="Q21" s="26">
        <f>Drivers!Q43</f>
        <v>-2</v>
      </c>
      <c r="R21" s="20">
        <f t="shared" ref="R21:R26" si="9">SUM(N21:Q21)</f>
        <v>-8</v>
      </c>
      <c r="S21" s="26">
        <f>Drivers!S43</f>
        <v>-2</v>
      </c>
      <c r="T21" s="26">
        <f>Drivers!T43</f>
        <v>-2</v>
      </c>
      <c r="U21" s="26">
        <f>Drivers!U43</f>
        <v>-2</v>
      </c>
      <c r="V21" s="26">
        <f>Drivers!V43</f>
        <v>-2</v>
      </c>
      <c r="W21" s="20">
        <f t="shared" ref="W21:W26" si="10">SUM(S21:V21)</f>
        <v>-8</v>
      </c>
    </row>
    <row r="22" spans="1:23" ht="14.5">
      <c r="A22" s="9" t="s">
        <v>101</v>
      </c>
      <c r="B22" s="11">
        <f t="shared" ref="B22:L22" si="11">B19+B21</f>
        <v>839.76040000000057</v>
      </c>
      <c r="C22" s="11">
        <f t="shared" si="11"/>
        <v>1083.248</v>
      </c>
      <c r="D22" s="11">
        <f t="shared" si="11"/>
        <v>300.51960000000003</v>
      </c>
      <c r="E22" s="11">
        <f t="shared" si="11"/>
        <v>343.74739999999991</v>
      </c>
      <c r="F22" s="11">
        <f t="shared" si="11"/>
        <v>341.36710000000028</v>
      </c>
      <c r="G22" s="11">
        <f t="shared" si="11"/>
        <v>288.6884</v>
      </c>
      <c r="H22" s="11">
        <f t="shared" si="11"/>
        <v>1274.3222999999998</v>
      </c>
      <c r="I22" s="11">
        <f t="shared" si="11"/>
        <v>230.22747663100012</v>
      </c>
      <c r="J22" s="11">
        <f t="shared" si="11"/>
        <v>350.68995991024445</v>
      </c>
      <c r="K22" s="11">
        <f t="shared" si="11"/>
        <v>399.44458050554073</v>
      </c>
      <c r="L22" s="11">
        <f t="shared" si="11"/>
        <v>407.39143876949959</v>
      </c>
      <c r="M22" s="12">
        <f t="shared" si="8"/>
        <v>1387.7534558162847</v>
      </c>
      <c r="N22" s="11">
        <f>N19+N21</f>
        <v>451.03429047872896</v>
      </c>
      <c r="O22" s="11">
        <f>O19+O21</f>
        <v>526.00594047989409</v>
      </c>
      <c r="P22" s="11">
        <f>P19+P21</f>
        <v>541.22054220062034</v>
      </c>
      <c r="Q22" s="11">
        <f>Q19+Q21</f>
        <v>543.8690889060266</v>
      </c>
      <c r="R22" s="12">
        <f t="shared" si="9"/>
        <v>2062.1298620652701</v>
      </c>
      <c r="S22" s="11">
        <f>S19+S21</f>
        <v>564.83783141140464</v>
      </c>
      <c r="T22" s="11">
        <f>T19+T21</f>
        <v>651.23231790919499</v>
      </c>
      <c r="U22" s="11">
        <f>U19+U21</f>
        <v>668.35812969298877</v>
      </c>
      <c r="V22" s="11">
        <f>V19+V21</f>
        <v>677.13920852103024</v>
      </c>
      <c r="W22" s="12">
        <f t="shared" si="10"/>
        <v>2561.5674875346185</v>
      </c>
    </row>
    <row r="23" spans="1:23" ht="14.5">
      <c r="A23" s="17" t="s">
        <v>102</v>
      </c>
      <c r="B23" s="18">
        <v>-99.731399999999994</v>
      </c>
      <c r="C23" s="18">
        <v>-132.95570000000001</v>
      </c>
      <c r="D23" s="18">
        <v>-39.919499999999999</v>
      </c>
      <c r="E23" s="18">
        <v>-45.368400000000001</v>
      </c>
      <c r="F23" s="18">
        <v>-27.0306</v>
      </c>
      <c r="G23" s="18">
        <v>-21.2408</v>
      </c>
      <c r="H23" s="18">
        <v>-133.55930000000001</v>
      </c>
      <c r="I23" s="26">
        <f>-I22*Drivers!I44</f>
        <v>-29.929571962030018</v>
      </c>
      <c r="J23" s="26">
        <f>-J22*Drivers!J44</f>
        <v>-36.822445790575664</v>
      </c>
      <c r="K23" s="26">
        <f>-K22*Drivers!K44</f>
        <v>-41.941680953081772</v>
      </c>
      <c r="L23" s="26">
        <f>-L22*Drivers!L44</f>
        <v>-42.776101070797452</v>
      </c>
      <c r="M23" s="20">
        <f t="shared" si="8"/>
        <v>-151.4697997764849</v>
      </c>
      <c r="N23" s="26">
        <f>-N22*Drivers!N44</f>
        <v>-47.35860050026654</v>
      </c>
      <c r="O23" s="26">
        <f>-O22*Drivers!O44</f>
        <v>-55.23062375038888</v>
      </c>
      <c r="P23" s="26">
        <f>-P22*Drivers!P44</f>
        <v>-56.828156931065131</v>
      </c>
      <c r="Q23" s="26">
        <f>-Q22*Drivers!Q44</f>
        <v>-57.106254335132789</v>
      </c>
      <c r="R23" s="20">
        <f t="shared" si="9"/>
        <v>-216.52363551685335</v>
      </c>
      <c r="S23" s="26">
        <f>-S22*Drivers!S44</f>
        <v>-59.307972298197484</v>
      </c>
      <c r="T23" s="26">
        <f>-T22*Drivers!T44</f>
        <v>-68.379393380465473</v>
      </c>
      <c r="U23" s="26">
        <f>-U22*Drivers!U44</f>
        <v>-70.177603617763822</v>
      </c>
      <c r="V23" s="26">
        <f>-V22*Drivers!V44</f>
        <v>-71.099616894708177</v>
      </c>
      <c r="W23" s="20">
        <f t="shared" si="10"/>
        <v>-268.96458619113497</v>
      </c>
    </row>
    <row r="24" spans="1:23" ht="14.5">
      <c r="A24" s="9" t="s">
        <v>103</v>
      </c>
      <c r="B24" s="11">
        <f t="shared" ref="B24:L24" si="12">B22+B23</f>
        <v>740.02900000000056</v>
      </c>
      <c r="C24" s="11">
        <f t="shared" si="12"/>
        <v>950.29230000000007</v>
      </c>
      <c r="D24" s="11">
        <f t="shared" si="12"/>
        <v>260.6001</v>
      </c>
      <c r="E24" s="11">
        <f t="shared" si="12"/>
        <v>298.37899999999991</v>
      </c>
      <c r="F24" s="11">
        <f t="shared" si="12"/>
        <v>314.33650000000029</v>
      </c>
      <c r="G24" s="11">
        <f t="shared" si="12"/>
        <v>267.44760000000002</v>
      </c>
      <c r="H24" s="11">
        <f t="shared" si="12"/>
        <v>1140.7629999999999</v>
      </c>
      <c r="I24" s="11">
        <f t="shared" si="12"/>
        <v>200.29790466897009</v>
      </c>
      <c r="J24" s="11">
        <f t="shared" si="12"/>
        <v>313.86751411966878</v>
      </c>
      <c r="K24" s="11">
        <f t="shared" si="12"/>
        <v>357.50289955245898</v>
      </c>
      <c r="L24" s="11">
        <f t="shared" si="12"/>
        <v>364.61533769870215</v>
      </c>
      <c r="M24" s="12">
        <f t="shared" si="8"/>
        <v>1236.2836560398</v>
      </c>
      <c r="N24" s="11">
        <f>N22+N23</f>
        <v>403.6756899784624</v>
      </c>
      <c r="O24" s="11">
        <f>O22+O23</f>
        <v>470.77531672950522</v>
      </c>
      <c r="P24" s="11">
        <f>P22+P23</f>
        <v>484.39238526955523</v>
      </c>
      <c r="Q24" s="11">
        <f>Q22+Q23</f>
        <v>486.7628345708938</v>
      </c>
      <c r="R24" s="12">
        <f t="shared" si="9"/>
        <v>1845.6062265484168</v>
      </c>
      <c r="S24" s="11">
        <f>S22+S23</f>
        <v>505.52985911320718</v>
      </c>
      <c r="T24" s="11">
        <f>T22+T23</f>
        <v>582.85292452872955</v>
      </c>
      <c r="U24" s="11">
        <f>U22+U23</f>
        <v>598.18052607522498</v>
      </c>
      <c r="V24" s="11">
        <f>V22+V23</f>
        <v>606.03959162632202</v>
      </c>
      <c r="W24" s="12">
        <f t="shared" si="10"/>
        <v>2292.6029013434836</v>
      </c>
    </row>
    <row r="25" spans="1:23" ht="14.5">
      <c r="A25" s="17" t="s">
        <v>104</v>
      </c>
      <c r="B25" s="18">
        <v>-99.498900000000006</v>
      </c>
      <c r="C25" s="18">
        <v>-118.20829999999999</v>
      </c>
      <c r="D25" s="18">
        <v>-27.449200000000001</v>
      </c>
      <c r="E25" s="18">
        <v>-45.650300000000001</v>
      </c>
      <c r="F25" s="18">
        <v>-31.135000000000002</v>
      </c>
      <c r="G25" s="18">
        <v>-15.5121</v>
      </c>
      <c r="H25" s="18">
        <v>-119.7467</v>
      </c>
      <c r="I25" s="26">
        <f>-I24*Drivers!I45</f>
        <v>-22.032769513586711</v>
      </c>
      <c r="J25" s="26">
        <f>-J24*Drivers!J45</f>
        <v>-32.95608898256522</v>
      </c>
      <c r="K25" s="26">
        <f>-K24*Drivers!K45</f>
        <v>-37.537804453008192</v>
      </c>
      <c r="L25" s="26">
        <f>-L24*Drivers!L45</f>
        <v>-38.284610458363723</v>
      </c>
      <c r="M25" s="20">
        <f t="shared" si="8"/>
        <v>-130.81127340752386</v>
      </c>
      <c r="N25" s="26">
        <f>-N24*Drivers!N45</f>
        <v>-42.385947447738552</v>
      </c>
      <c r="O25" s="26">
        <f>-O24*Drivers!O45</f>
        <v>-49.431408256598047</v>
      </c>
      <c r="P25" s="26">
        <f>-P24*Drivers!P45</f>
        <v>-50.861200453303297</v>
      </c>
      <c r="Q25" s="26">
        <f>-Q24*Drivers!Q45</f>
        <v>-51.110097629943844</v>
      </c>
      <c r="R25" s="20">
        <f t="shared" si="9"/>
        <v>-193.78865378758374</v>
      </c>
      <c r="S25" s="26">
        <f>-S24*Drivers!S45</f>
        <v>-53.080635206886754</v>
      </c>
      <c r="T25" s="26">
        <f>-T24*Drivers!T45</f>
        <v>-61.199557075516601</v>
      </c>
      <c r="U25" s="26">
        <f>-U24*Drivers!U45</f>
        <v>-62.808955237898623</v>
      </c>
      <c r="V25" s="26">
        <f>-V24*Drivers!V45</f>
        <v>-63.63415712076381</v>
      </c>
      <c r="W25" s="20">
        <f t="shared" si="10"/>
        <v>-240.72330464106579</v>
      </c>
    </row>
    <row r="26" spans="1:23" ht="14.5">
      <c r="A26" s="9" t="s">
        <v>105</v>
      </c>
      <c r="B26" s="11">
        <f t="shared" ref="B26:L26" si="13">B24+B25</f>
        <v>640.53010000000052</v>
      </c>
      <c r="C26" s="11">
        <f t="shared" si="13"/>
        <v>832.08400000000006</v>
      </c>
      <c r="D26" s="11">
        <f t="shared" si="13"/>
        <v>233.15090000000001</v>
      </c>
      <c r="E26" s="11">
        <f t="shared" si="13"/>
        <v>252.72869999999989</v>
      </c>
      <c r="F26" s="11">
        <f t="shared" si="13"/>
        <v>283.20150000000029</v>
      </c>
      <c r="G26" s="11">
        <f t="shared" si="13"/>
        <v>251.93550000000002</v>
      </c>
      <c r="H26" s="11">
        <f t="shared" si="13"/>
        <v>1021.0162999999999</v>
      </c>
      <c r="I26" s="11">
        <f t="shared" si="13"/>
        <v>178.26513515538338</v>
      </c>
      <c r="J26" s="11">
        <f t="shared" si="13"/>
        <v>280.91142513710355</v>
      </c>
      <c r="K26" s="11">
        <f t="shared" si="13"/>
        <v>319.96509509945076</v>
      </c>
      <c r="L26" s="11">
        <f t="shared" si="13"/>
        <v>326.33072724033843</v>
      </c>
      <c r="M26" s="12">
        <f t="shared" si="8"/>
        <v>1105.4723826322761</v>
      </c>
      <c r="N26" s="11">
        <f>N24+N25</f>
        <v>361.28974253072386</v>
      </c>
      <c r="O26" s="11">
        <f>O24+O25</f>
        <v>421.34390847290717</v>
      </c>
      <c r="P26" s="11">
        <f>P24+P25</f>
        <v>433.53118481625194</v>
      </c>
      <c r="Q26" s="11">
        <f>Q24+Q25</f>
        <v>435.65273694094998</v>
      </c>
      <c r="R26" s="12">
        <f t="shared" si="9"/>
        <v>1651.8175727608329</v>
      </c>
      <c r="S26" s="11">
        <f>S24+S25</f>
        <v>452.44922390632041</v>
      </c>
      <c r="T26" s="11">
        <f>T24+T25</f>
        <v>521.65336745321292</v>
      </c>
      <c r="U26" s="11">
        <f>U24+U25</f>
        <v>535.37157083732632</v>
      </c>
      <c r="V26" s="11">
        <f>V24+V25</f>
        <v>542.40543450555822</v>
      </c>
      <c r="W26" s="12">
        <f t="shared" si="10"/>
        <v>2051.879596702418</v>
      </c>
    </row>
    <row r="27" spans="1:23" ht="14.5">
      <c r="A27" s="13" t="s">
        <v>106</v>
      </c>
      <c r="B27" s="40">
        <f t="shared" ref="B27:W27" si="14">B26/B6</f>
        <v>0.12707862237851164</v>
      </c>
      <c r="C27" s="40">
        <f t="shared" si="14"/>
        <v>0.14110508245487613</v>
      </c>
      <c r="D27" s="40">
        <f t="shared" si="14"/>
        <v>0.15961202276771314</v>
      </c>
      <c r="E27" s="40">
        <f t="shared" si="14"/>
        <v>0.14331209432596181</v>
      </c>
      <c r="F27" s="40">
        <f t="shared" si="14"/>
        <v>0.15665481565249914</v>
      </c>
      <c r="G27" s="40">
        <f t="shared" si="14"/>
        <v>0.14704987948161688</v>
      </c>
      <c r="H27" s="40">
        <f t="shared" si="14"/>
        <v>0.15136726339206041</v>
      </c>
      <c r="I27" s="40">
        <f t="shared" si="14"/>
        <v>0.10585824358223499</v>
      </c>
      <c r="J27" s="40">
        <f t="shared" si="14"/>
        <v>0.13824991161277583</v>
      </c>
      <c r="K27" s="40">
        <f t="shared" si="14"/>
        <v>0.15068401711962415</v>
      </c>
      <c r="L27" s="40">
        <f t="shared" si="14"/>
        <v>0.15443340099437891</v>
      </c>
      <c r="M27" s="41">
        <f t="shared" si="14"/>
        <v>0.13901098209330917</v>
      </c>
      <c r="N27" s="40">
        <f t="shared" si="14"/>
        <v>0.17099136746308335</v>
      </c>
      <c r="O27" s="40">
        <f t="shared" si="14"/>
        <v>0.17254341769099524</v>
      </c>
      <c r="P27" s="40">
        <f t="shared" si="14"/>
        <v>0.16930798729400284</v>
      </c>
      <c r="Q27" s="40">
        <f t="shared" si="14"/>
        <v>0.16886393926346122</v>
      </c>
      <c r="R27" s="41">
        <f t="shared" si="14"/>
        <v>0.170371588620332</v>
      </c>
      <c r="S27" s="40">
        <f t="shared" si="14"/>
        <v>0.17858492693264225</v>
      </c>
      <c r="T27" s="40">
        <f t="shared" si="14"/>
        <v>0.18012412539983755</v>
      </c>
      <c r="U27" s="40">
        <f t="shared" si="14"/>
        <v>0.1767680108797072</v>
      </c>
      <c r="V27" s="40">
        <f t="shared" si="14"/>
        <v>0.17638042230407769</v>
      </c>
      <c r="W27" s="41">
        <f t="shared" si="14"/>
        <v>0.17790651064719948</v>
      </c>
    </row>
    <row r="28" spans="1:23" ht="14.5">
      <c r="A28" s="13" t="s">
        <v>107</v>
      </c>
      <c r="B28" s="14" t="str">
        <f>""</f>
        <v/>
      </c>
      <c r="C28" s="14">
        <f>C26/B26-1</f>
        <v>0.29905526687972883</v>
      </c>
      <c r="D28" s="14" t="str">
        <f>""</f>
        <v/>
      </c>
      <c r="E28" s="14" t="str">
        <f>""</f>
        <v/>
      </c>
      <c r="F28" s="14" t="str">
        <f>""</f>
        <v/>
      </c>
      <c r="G28" s="14" t="str">
        <f>""</f>
        <v/>
      </c>
      <c r="H28" s="14">
        <f t="shared" ref="H28:W28" si="15">H26/C26-1</f>
        <v>0.22705916710332108</v>
      </c>
      <c r="I28" s="14">
        <f t="shared" si="15"/>
        <v>-0.2354087624993797</v>
      </c>
      <c r="J28" s="14">
        <f t="shared" si="15"/>
        <v>0.1115137502670005</v>
      </c>
      <c r="K28" s="14">
        <f t="shared" si="15"/>
        <v>0.12981426687164599</v>
      </c>
      <c r="L28" s="14">
        <f t="shared" si="15"/>
        <v>0.29529473710667387</v>
      </c>
      <c r="M28" s="16">
        <f t="shared" si="15"/>
        <v>8.2717663402901875E-2</v>
      </c>
      <c r="N28" s="14">
        <f t="shared" si="15"/>
        <v>1.0266988394326719</v>
      </c>
      <c r="O28" s="14">
        <f t="shared" si="15"/>
        <v>0.4999173076255734</v>
      </c>
      <c r="P28" s="14">
        <f t="shared" si="15"/>
        <v>0.3549327456530933</v>
      </c>
      <c r="Q28" s="14">
        <f t="shared" si="15"/>
        <v>0.33500372651116384</v>
      </c>
      <c r="R28" s="16">
        <f t="shared" si="15"/>
        <v>0.4942187599726704</v>
      </c>
      <c r="S28" s="14">
        <f t="shared" si="15"/>
        <v>0.25231682675808154</v>
      </c>
      <c r="T28" s="14">
        <f t="shared" si="15"/>
        <v>0.23807027220082788</v>
      </c>
      <c r="U28" s="14">
        <f t="shared" si="15"/>
        <v>0.23490902059153695</v>
      </c>
      <c r="V28" s="14">
        <f t="shared" si="15"/>
        <v>0.24504080546859486</v>
      </c>
      <c r="W28" s="16">
        <f t="shared" si="15"/>
        <v>0.24219504050494201</v>
      </c>
    </row>
    <row r="29" spans="1:23" ht="14.5">
      <c r="A29" s="17" t="s">
        <v>108</v>
      </c>
      <c r="B29" s="42">
        <f t="shared" ref="B29:W29" si="16">B26/B36</f>
        <v>0.79438854427729855</v>
      </c>
      <c r="C29" s="42">
        <f t="shared" si="16"/>
        <v>1.0319546223923453</v>
      </c>
      <c r="D29" s="42">
        <f t="shared" si="16"/>
        <v>0.28915487975965826</v>
      </c>
      <c r="E29" s="42">
        <f t="shared" si="16"/>
        <v>0.31343536250692022</v>
      </c>
      <c r="F29" s="42">
        <f t="shared" si="16"/>
        <v>0.351227877225672</v>
      </c>
      <c r="G29" s="42">
        <f t="shared" si="16"/>
        <v>0.31245163201038201</v>
      </c>
      <c r="H29" s="42">
        <f t="shared" si="16"/>
        <v>1.2662693794411735</v>
      </c>
      <c r="I29" s="42">
        <f t="shared" si="16"/>
        <v>0.22108528734478014</v>
      </c>
      <c r="J29" s="42">
        <f t="shared" si="16"/>
        <v>0.34838771524636364</v>
      </c>
      <c r="K29" s="42">
        <f t="shared" si="16"/>
        <v>0.39682226661260711</v>
      </c>
      <c r="L29" s="42">
        <f t="shared" si="16"/>
        <v>0.40471695454343898</v>
      </c>
      <c r="M29" s="33">
        <f t="shared" si="16"/>
        <v>1.3710122237471898</v>
      </c>
      <c r="N29" s="42">
        <f t="shared" si="16"/>
        <v>0.44807329527730466</v>
      </c>
      <c r="O29" s="42">
        <f t="shared" si="16"/>
        <v>0.52255276386215066</v>
      </c>
      <c r="P29" s="42">
        <f t="shared" si="16"/>
        <v>0.53766748323770353</v>
      </c>
      <c r="Q29" s="42">
        <f t="shared" si="16"/>
        <v>0.54029864249774029</v>
      </c>
      <c r="R29" s="33">
        <f t="shared" si="16"/>
        <v>2.0485921848748991</v>
      </c>
      <c r="S29" s="42">
        <f t="shared" si="16"/>
        <v>0.56112972729671107</v>
      </c>
      <c r="T29" s="42">
        <f t="shared" si="16"/>
        <v>0.64695704259410791</v>
      </c>
      <c r="U29" s="42">
        <f t="shared" si="16"/>
        <v>0.66397042512898918</v>
      </c>
      <c r="V29" s="42">
        <f t="shared" si="16"/>
        <v>0.672693857048975</v>
      </c>
      <c r="W29" s="33">
        <f t="shared" si="16"/>
        <v>2.5447510520687833</v>
      </c>
    </row>
    <row r="30" spans="1:23">
      <c r="A30" s="9" t="s">
        <v>109</v>
      </c>
    </row>
    <row r="31" spans="1:23" ht="14.5">
      <c r="A31" s="13" t="s">
        <v>110</v>
      </c>
      <c r="B31" s="18">
        <v>591.92010000000005</v>
      </c>
      <c r="C31" s="18">
        <v>781.11320000000001</v>
      </c>
      <c r="D31" s="18">
        <v>186.1206</v>
      </c>
      <c r="E31" s="18">
        <v>242.11</v>
      </c>
      <c r="F31" s="18">
        <v>270.83</v>
      </c>
      <c r="G31" s="18">
        <v>245.07</v>
      </c>
      <c r="H31" s="18">
        <v>978.20920000000001</v>
      </c>
      <c r="I31" s="18">
        <v>167</v>
      </c>
    </row>
    <row r="32" spans="1:23" ht="14.5">
      <c r="A32" s="17" t="s">
        <v>111</v>
      </c>
      <c r="B32" s="19">
        <f>Drivers!B49</f>
        <v>542.55719999999997</v>
      </c>
      <c r="C32" s="19">
        <f>Drivers!C49</f>
        <v>595.8623</v>
      </c>
      <c r="D32" s="19">
        <f>Drivers!D49</f>
        <v>153.94584999999998</v>
      </c>
      <c r="E32" s="19">
        <f>Drivers!E49</f>
        <v>153.94584999999998</v>
      </c>
      <c r="F32" s="19">
        <f>Drivers!F49</f>
        <v>153.94584999999998</v>
      </c>
      <c r="G32" s="19">
        <f>Drivers!G49</f>
        <v>153.94584999999998</v>
      </c>
      <c r="H32" s="19">
        <f>Drivers!H49</f>
        <v>615.78339999999992</v>
      </c>
      <c r="I32" s="26">
        <f>Drivers!I49</f>
        <v>164.7</v>
      </c>
      <c r="J32" s="26">
        <f>Drivers!J49</f>
        <v>167.7</v>
      </c>
      <c r="K32" s="26">
        <f>Drivers!K49</f>
        <v>170.7</v>
      </c>
      <c r="L32" s="26">
        <f>Drivers!L49</f>
        <v>173.7</v>
      </c>
      <c r="M32" s="20">
        <f>SUM(I32:L32)</f>
        <v>676.8</v>
      </c>
      <c r="N32" s="26">
        <f>Drivers!N49</f>
        <v>182.7</v>
      </c>
      <c r="O32" s="26">
        <f>Drivers!O49</f>
        <v>185.7</v>
      </c>
      <c r="P32" s="26">
        <f>Drivers!P49</f>
        <v>188.7</v>
      </c>
      <c r="Q32" s="26">
        <f>Drivers!Q49</f>
        <v>191.7</v>
      </c>
      <c r="R32" s="20">
        <f>SUM(N32:Q32)</f>
        <v>748.8</v>
      </c>
      <c r="S32" s="26">
        <f>Drivers!S49</f>
        <v>202.7</v>
      </c>
      <c r="T32" s="26">
        <f>Drivers!T49</f>
        <v>205.7</v>
      </c>
      <c r="U32" s="26">
        <f>Drivers!U49</f>
        <v>208.7</v>
      </c>
      <c r="V32" s="26">
        <f>Drivers!V49</f>
        <v>211.7</v>
      </c>
      <c r="W32" s="20">
        <f>SUM(S32:V32)</f>
        <v>828.8</v>
      </c>
    </row>
    <row r="33" spans="1:23" ht="14.5">
      <c r="A33" s="17" t="s">
        <v>112</v>
      </c>
      <c r="B33" s="19">
        <f t="shared" ref="B33:L33" si="17">B19-B15</f>
        <v>917.56960000000049</v>
      </c>
      <c r="C33" s="19">
        <f t="shared" si="17"/>
        <v>1179.4503999999999</v>
      </c>
      <c r="D33" s="19">
        <f t="shared" si="17"/>
        <v>324.55029999999999</v>
      </c>
      <c r="E33" s="19">
        <f t="shared" si="17"/>
        <v>363.48809999999992</v>
      </c>
      <c r="F33" s="19">
        <f t="shared" si="17"/>
        <v>366.51110000000028</v>
      </c>
      <c r="G33" s="19">
        <f t="shared" si="17"/>
        <v>313.03199999999998</v>
      </c>
      <c r="H33" s="19">
        <f t="shared" si="17"/>
        <v>1367.5812999999998</v>
      </c>
      <c r="I33" s="19">
        <f t="shared" si="17"/>
        <v>254.54613675100012</v>
      </c>
      <c r="J33" s="19">
        <f t="shared" si="17"/>
        <v>377.21862003024444</v>
      </c>
      <c r="K33" s="19">
        <f t="shared" si="17"/>
        <v>428.35324062554071</v>
      </c>
      <c r="L33" s="19">
        <f t="shared" si="17"/>
        <v>437.8300988894996</v>
      </c>
      <c r="M33" s="20">
        <f>SUM(I33:L33)</f>
        <v>1497.948096296285</v>
      </c>
      <c r="N33" s="19">
        <f>N19-N15</f>
        <v>482.49295059872895</v>
      </c>
      <c r="O33" s="19">
        <f>O19-O15</f>
        <v>558.8246005998941</v>
      </c>
      <c r="P33" s="19">
        <f>P19-P15</f>
        <v>575.39920232062036</v>
      </c>
      <c r="Q33" s="19">
        <f>Q19-Q15</f>
        <v>579.40774902602664</v>
      </c>
      <c r="R33" s="20">
        <f>SUM(N33:Q33)</f>
        <v>2196.1245025452699</v>
      </c>
      <c r="S33" s="19">
        <f>S19-S15</f>
        <v>601.56649153140461</v>
      </c>
      <c r="T33" s="19">
        <f>T19-T15</f>
        <v>688.98097802919494</v>
      </c>
      <c r="U33" s="19">
        <f>U19-U15</f>
        <v>707.12678981298882</v>
      </c>
      <c r="V33" s="19">
        <f>V19-V15</f>
        <v>716.92786864103027</v>
      </c>
      <c r="W33" s="20">
        <f>SUM(S33:V33)</f>
        <v>2714.6021280146188</v>
      </c>
    </row>
    <row r="34" spans="1:23" ht="14.5">
      <c r="A34" s="9" t="s">
        <v>113</v>
      </c>
      <c r="B34" s="11">
        <f t="shared" ref="B34:L34" si="18">B33+B32</f>
        <v>1460.1268000000005</v>
      </c>
      <c r="C34" s="11">
        <f t="shared" si="18"/>
        <v>1775.3126999999999</v>
      </c>
      <c r="D34" s="11">
        <f t="shared" si="18"/>
        <v>478.49614999999994</v>
      </c>
      <c r="E34" s="11">
        <f t="shared" si="18"/>
        <v>517.43394999999987</v>
      </c>
      <c r="F34" s="11">
        <f t="shared" si="18"/>
        <v>520.45695000000023</v>
      </c>
      <c r="G34" s="11">
        <f t="shared" si="18"/>
        <v>466.97784999999999</v>
      </c>
      <c r="H34" s="11">
        <f t="shared" si="18"/>
        <v>1983.3646999999996</v>
      </c>
      <c r="I34" s="11">
        <f t="shared" si="18"/>
        <v>419.24613675100011</v>
      </c>
      <c r="J34" s="11">
        <f t="shared" si="18"/>
        <v>544.91862003024448</v>
      </c>
      <c r="K34" s="11">
        <f t="shared" si="18"/>
        <v>599.05324062554064</v>
      </c>
      <c r="L34" s="11">
        <f t="shared" si="18"/>
        <v>611.53009888949964</v>
      </c>
      <c r="M34" s="12">
        <f>SUM(I34:L34)</f>
        <v>2174.748096296285</v>
      </c>
      <c r="N34" s="11">
        <f>N33+N32</f>
        <v>665.19295059872888</v>
      </c>
      <c r="O34" s="11">
        <f>O33+O32</f>
        <v>744.52460059989403</v>
      </c>
      <c r="P34" s="11">
        <f>P33+P32</f>
        <v>764.09920232062041</v>
      </c>
      <c r="Q34" s="11">
        <f>Q33+Q32</f>
        <v>771.10774902602657</v>
      </c>
      <c r="R34" s="12">
        <f>SUM(N34:Q34)</f>
        <v>2944.9245025452701</v>
      </c>
      <c r="S34" s="11">
        <f>S33+S32</f>
        <v>804.26649153140465</v>
      </c>
      <c r="T34" s="11">
        <f>T33+T32</f>
        <v>894.68097802919488</v>
      </c>
      <c r="U34" s="11">
        <f>U33+U32</f>
        <v>915.82678981298886</v>
      </c>
      <c r="V34" s="11">
        <f>V33+V32</f>
        <v>928.62786864103032</v>
      </c>
      <c r="W34" s="12">
        <f>SUM(S34:V34)</f>
        <v>3543.4021280146189</v>
      </c>
    </row>
    <row r="35" spans="1:23" ht="14.5">
      <c r="A35" s="13" t="s">
        <v>114</v>
      </c>
      <c r="B35" s="40">
        <f t="shared" ref="B35:W35" si="19">B34/B6</f>
        <v>0.2896833454695486</v>
      </c>
      <c r="C35" s="40">
        <f t="shared" si="19"/>
        <v>0.30105812023388112</v>
      </c>
      <c r="D35" s="40">
        <f t="shared" si="19"/>
        <v>0.32757213627767712</v>
      </c>
      <c r="E35" s="40">
        <f t="shared" si="19"/>
        <v>0.29341559961276664</v>
      </c>
      <c r="F35" s="40">
        <f t="shared" si="19"/>
        <v>0.28789426453359857</v>
      </c>
      <c r="G35" s="40">
        <f t="shared" si="19"/>
        <v>0.27256594073913581</v>
      </c>
      <c r="H35" s="40">
        <f t="shared" si="19"/>
        <v>0.29403691884979194</v>
      </c>
      <c r="I35" s="40">
        <f t="shared" si="19"/>
        <v>0.24895871885668683</v>
      </c>
      <c r="J35" s="40">
        <f t="shared" si="19"/>
        <v>0.2681804452010757</v>
      </c>
      <c r="K35" s="40">
        <f t="shared" si="19"/>
        <v>0.28211748765260936</v>
      </c>
      <c r="L35" s="40">
        <f t="shared" si="19"/>
        <v>0.28940171763960165</v>
      </c>
      <c r="M35" s="41">
        <f t="shared" si="19"/>
        <v>0.27347030411727852</v>
      </c>
      <c r="N35" s="40">
        <f t="shared" si="19"/>
        <v>0.31482281078048407</v>
      </c>
      <c r="O35" s="40">
        <f t="shared" si="19"/>
        <v>0.30488827905005589</v>
      </c>
      <c r="P35" s="40">
        <f t="shared" si="19"/>
        <v>0.29840551860805292</v>
      </c>
      <c r="Q35" s="40">
        <f t="shared" si="19"/>
        <v>0.2988901045622599</v>
      </c>
      <c r="R35" s="41">
        <f t="shared" si="19"/>
        <v>0.30374508307657072</v>
      </c>
      <c r="S35" s="40">
        <f t="shared" si="19"/>
        <v>0.31744970492920321</v>
      </c>
      <c r="T35" s="40">
        <f t="shared" si="19"/>
        <v>0.3089285696863327</v>
      </c>
      <c r="U35" s="40">
        <f t="shared" si="19"/>
        <v>0.30238602265038833</v>
      </c>
      <c r="V35" s="40">
        <f t="shared" si="19"/>
        <v>0.30197296194782519</v>
      </c>
      <c r="W35" s="41">
        <f t="shared" si="19"/>
        <v>0.30722772887261551</v>
      </c>
    </row>
    <row r="36" spans="1:23" ht="14.5">
      <c r="A36" s="17" t="s">
        <v>74</v>
      </c>
      <c r="B36" s="19">
        <f>Drivers!B61</f>
        <v>806.3184</v>
      </c>
      <c r="C36" s="19">
        <f>Drivers!C61</f>
        <v>806.3184</v>
      </c>
      <c r="D36" s="19">
        <f>Drivers!D61</f>
        <v>806.3184</v>
      </c>
      <c r="E36" s="19">
        <f>Drivers!E61</f>
        <v>806.3184</v>
      </c>
      <c r="F36" s="19">
        <f>Drivers!F61</f>
        <v>806.3184</v>
      </c>
      <c r="G36" s="19">
        <f>Drivers!G61</f>
        <v>806.3184</v>
      </c>
      <c r="H36" s="19">
        <f>Drivers!H61</f>
        <v>806.3184</v>
      </c>
      <c r="I36" s="26">
        <f>Drivers!I61</f>
        <v>806.3184</v>
      </c>
      <c r="J36" s="26">
        <f>Drivers!J61</f>
        <v>806.3184</v>
      </c>
      <c r="K36" s="26">
        <f>Drivers!K61</f>
        <v>806.3184</v>
      </c>
      <c r="L36" s="26">
        <f>Drivers!L61</f>
        <v>806.3184</v>
      </c>
      <c r="M36" s="43">
        <f>Drivers!M61</f>
        <v>806.3184</v>
      </c>
      <c r="N36" s="26">
        <f>Drivers!N61</f>
        <v>806.3184</v>
      </c>
      <c r="O36" s="26">
        <f>Drivers!O61</f>
        <v>806.3184</v>
      </c>
      <c r="P36" s="26">
        <f>Drivers!P61</f>
        <v>806.3184</v>
      </c>
      <c r="Q36" s="26">
        <f>Drivers!Q61</f>
        <v>806.3184</v>
      </c>
      <c r="R36" s="43">
        <f>Drivers!R61</f>
        <v>806.3184</v>
      </c>
      <c r="S36" s="26">
        <f>Drivers!S61</f>
        <v>806.3184</v>
      </c>
      <c r="T36" s="26">
        <f>Drivers!T61</f>
        <v>806.3184</v>
      </c>
      <c r="U36" s="26">
        <f>Drivers!U61</f>
        <v>806.3184</v>
      </c>
      <c r="V36" s="26">
        <f>Drivers!V61</f>
        <v>806.3184</v>
      </c>
      <c r="W36" s="43">
        <f>Drivers!W61</f>
        <v>806.3184</v>
      </c>
    </row>
    <row r="38" spans="1:23" ht="14.5">
      <c r="A38" s="22" t="s">
        <v>115</v>
      </c>
      <c r="I38" s="18">
        <v>178</v>
      </c>
    </row>
    <row r="39" spans="1:23" ht="14.5">
      <c r="A39" s="22" t="s">
        <v>116</v>
      </c>
      <c r="I39" s="23">
        <f>I26-I38</f>
        <v>0.26513515538337629</v>
      </c>
    </row>
  </sheetData>
  <phoneticPr fontId="35" type="noConversion"/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5"/>
  <sheetViews>
    <sheetView showGridLines="0" workbookViewId="0">
      <pane xSplit="1" ySplit="5" topLeftCell="B6" activePane="bottomRight" state="frozen"/>
      <selection activeCell="AB50" sqref="AB50"/>
      <selection pane="topRight" activeCell="AB50" sqref="AB50"/>
      <selection pane="bottomLeft" activeCell="AB50" sqref="AB50"/>
      <selection pane="bottomRight" activeCell="AB50" sqref="AB50"/>
    </sheetView>
  </sheetViews>
  <sheetFormatPr defaultRowHeight="14"/>
  <cols>
    <col min="1" max="1" width="42" customWidth="1"/>
    <col min="2" max="23" width="10.453125" customWidth="1"/>
  </cols>
  <sheetData>
    <row r="1" spans="1:24" ht="16.5">
      <c r="A1" s="1" t="s">
        <v>117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>
      <c r="A2" s="3" t="s">
        <v>118</v>
      </c>
    </row>
    <row r="3" spans="1:24">
      <c r="A3" s="4" t="s">
        <v>119</v>
      </c>
    </row>
    <row r="5" spans="1:24" ht="14.5">
      <c r="A5" s="2"/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6" t="s">
        <v>14</v>
      </c>
      <c r="N5" s="5" t="s">
        <v>15</v>
      </c>
      <c r="O5" s="5" t="s">
        <v>16</v>
      </c>
      <c r="P5" s="5" t="s">
        <v>17</v>
      </c>
      <c r="Q5" s="5" t="s">
        <v>18</v>
      </c>
      <c r="R5" s="6" t="s">
        <v>19</v>
      </c>
      <c r="S5" s="5" t="s">
        <v>20</v>
      </c>
      <c r="T5" s="5" t="s">
        <v>21</v>
      </c>
      <c r="U5" s="5" t="s">
        <v>22</v>
      </c>
      <c r="V5" s="5" t="s">
        <v>23</v>
      </c>
      <c r="W5" s="6" t="s">
        <v>24</v>
      </c>
    </row>
    <row r="6" spans="1:24">
      <c r="A6" s="7" t="s">
        <v>120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 spans="1:24" ht="14.5">
      <c r="A7" s="17" t="s">
        <v>121</v>
      </c>
      <c r="B7" s="18">
        <v>778.83799999999997</v>
      </c>
      <c r="C7" s="18">
        <v>302.27379999999999</v>
      </c>
      <c r="H7" s="18">
        <v>349.97289999999998</v>
      </c>
      <c r="I7" s="26">
        <f>CF!I31</f>
        <v>686.95305436102512</v>
      </c>
      <c r="J7" s="26">
        <f>CF!J31</f>
        <v>419.13851948604713</v>
      </c>
      <c r="K7" s="26">
        <f>CF!K31</f>
        <v>23.335613347166031</v>
      </c>
      <c r="L7" s="26">
        <f>CF!L31</f>
        <v>295.98615701364747</v>
      </c>
      <c r="M7" s="20">
        <f>L7</f>
        <v>295.98615701364747</v>
      </c>
      <c r="N7" s="26">
        <f>CF!N31</f>
        <v>771.55620535857634</v>
      </c>
      <c r="O7" s="26">
        <f>CF!O31</f>
        <v>602.59942748153571</v>
      </c>
      <c r="P7" s="26">
        <f>CF!P31</f>
        <v>169.53744950126872</v>
      </c>
      <c r="Q7" s="26">
        <f>CF!Q31</f>
        <v>682.98830741968447</v>
      </c>
      <c r="R7" s="20">
        <f>Q7</f>
        <v>682.98830741968447</v>
      </c>
      <c r="S7" s="26">
        <f>CF!S31</f>
        <v>1370.7225421062471</v>
      </c>
      <c r="T7" s="26">
        <f>CF!T31</f>
        <v>1260.5486041756708</v>
      </c>
      <c r="U7" s="26">
        <f>CF!U31</f>
        <v>596.0149466677409</v>
      </c>
      <c r="V7" s="26">
        <f>CF!V31</f>
        <v>1182.9538641932504</v>
      </c>
      <c r="W7" s="20">
        <f>V7</f>
        <v>1182.9538641932504</v>
      </c>
    </row>
    <row r="8" spans="1:24" ht="14.5">
      <c r="A8" s="17" t="s">
        <v>122</v>
      </c>
      <c r="B8" s="18">
        <v>2706.2244000000001</v>
      </c>
      <c r="C8" s="18">
        <v>3060.2289000000001</v>
      </c>
      <c r="H8" s="18">
        <v>3312.8074000000001</v>
      </c>
      <c r="I8" s="26">
        <f>Drivers!I51*IS!I6/91.25</f>
        <v>3284.9507151561643</v>
      </c>
      <c r="J8" s="26">
        <f>Drivers!J51*IS!J6/91.25</f>
        <v>3963.6168856141517</v>
      </c>
      <c r="K8" s="26">
        <f>Drivers!K51*IS!K6/91.25</f>
        <v>4142.1187299722515</v>
      </c>
      <c r="L8" s="26">
        <f>Drivers!L51*IS!L6/91.25</f>
        <v>4121.9608466601712</v>
      </c>
      <c r="M8" s="20">
        <f>L8</f>
        <v>4121.9608466601712</v>
      </c>
      <c r="N8" s="26">
        <f>Drivers!N51*IS!N6/91.25</f>
        <v>4075.3155420245098</v>
      </c>
      <c r="O8" s="26">
        <f>Drivers!O51*IS!O6/91.25</f>
        <v>4709.9697521668204</v>
      </c>
      <c r="P8" s="26">
        <f>Drivers!P51*IS!P6/91.25</f>
        <v>4938.8142258256994</v>
      </c>
      <c r="Q8" s="26">
        <f>Drivers!Q51*IS!Q6/91.25</f>
        <v>4976.0338403038486</v>
      </c>
      <c r="R8" s="20">
        <f>Q8</f>
        <v>4976.0338403038486</v>
      </c>
      <c r="S8" s="26">
        <f>Drivers!S51*IS!S6/91.25</f>
        <v>4831.0487762186503</v>
      </c>
      <c r="T8" s="26">
        <f>Drivers!T51*IS!T6/91.25</f>
        <v>5522.3827692335835</v>
      </c>
      <c r="U8" s="26">
        <f>Drivers!U51*IS!U6/91.25</f>
        <v>5775.2129928814757</v>
      </c>
      <c r="V8" s="26">
        <f>Drivers!V51*IS!V6/91.25</f>
        <v>5863.9469038874204</v>
      </c>
      <c r="W8" s="20">
        <f>V8</f>
        <v>5863.9469038874204</v>
      </c>
    </row>
    <row r="9" spans="1:24" ht="14.5">
      <c r="A9" s="17" t="s">
        <v>123</v>
      </c>
      <c r="B9" s="18">
        <v>864.60829999999999</v>
      </c>
      <c r="C9" s="18">
        <v>997.04480000000001</v>
      </c>
      <c r="H9" s="18">
        <v>1321.5809999999999</v>
      </c>
      <c r="I9" s="26">
        <f>-Drivers!I52*IS!I8/91.25</f>
        <v>1439.2539521227395</v>
      </c>
      <c r="J9" s="26">
        <f>-Drivers!J52*IS!J8/91.25</f>
        <v>1673.370253708531</v>
      </c>
      <c r="K9" s="26">
        <f>-Drivers!K52*IS!K8/91.25</f>
        <v>1704.7033913746623</v>
      </c>
      <c r="L9" s="26">
        <f>-Drivers!L52*IS!L8/91.25</f>
        <v>1680.6837861043934</v>
      </c>
      <c r="M9" s="20">
        <f>L9</f>
        <v>1680.6837861043934</v>
      </c>
      <c r="N9" s="26">
        <f>-Drivers!N52*IS!N8/91.25</f>
        <v>1655.7275391276416</v>
      </c>
      <c r="O9" s="26">
        <f>-Drivers!O52*IS!O8/91.25</f>
        <v>1908.5958533110352</v>
      </c>
      <c r="P9" s="26">
        <f>-Drivers!P52*IS!P8/91.25</f>
        <v>2013.6943943273698</v>
      </c>
      <c r="Q9" s="26">
        <f>-Drivers!Q52*IS!Q8/91.25</f>
        <v>2029.118871099852</v>
      </c>
      <c r="R9" s="20">
        <f>Q9</f>
        <v>2029.118871099852</v>
      </c>
      <c r="S9" s="26">
        <f>-Drivers!S52*IS!S8/91.25</f>
        <v>1982.7307879212651</v>
      </c>
      <c r="T9" s="26">
        <f>-Drivers!T52*IS!T8/91.25</f>
        <v>2261.3655936027021</v>
      </c>
      <c r="U9" s="26">
        <f>-Drivers!U52*IS!U8/91.25</f>
        <v>2380.9896710852158</v>
      </c>
      <c r="V9" s="26">
        <f>-Drivers!V52*IS!V8/91.25</f>
        <v>2418.5720020897375</v>
      </c>
      <c r="W9" s="20">
        <f>V9</f>
        <v>2418.5720020897375</v>
      </c>
    </row>
    <row r="10" spans="1:24" ht="14.5">
      <c r="A10" s="17" t="s">
        <v>124</v>
      </c>
      <c r="B10" s="18">
        <v>295.40109999999999</v>
      </c>
      <c r="C10" s="18">
        <v>340.28440000000001</v>
      </c>
      <c r="H10" s="18">
        <v>289.43689999999998</v>
      </c>
      <c r="I10" s="19">
        <f>H10</f>
        <v>289.43689999999998</v>
      </c>
      <c r="J10" s="19">
        <f>I10</f>
        <v>289.43689999999998</v>
      </c>
      <c r="K10" s="19">
        <f>J10</f>
        <v>289.43689999999998</v>
      </c>
      <c r="L10" s="19">
        <f>K10</f>
        <v>289.43689999999998</v>
      </c>
      <c r="M10" s="20">
        <f>L10</f>
        <v>289.43689999999998</v>
      </c>
      <c r="N10" s="19">
        <f>L10</f>
        <v>289.43689999999998</v>
      </c>
      <c r="O10" s="19">
        <f>N10</f>
        <v>289.43689999999998</v>
      </c>
      <c r="P10" s="19">
        <f>O10</f>
        <v>289.43689999999998</v>
      </c>
      <c r="Q10" s="19">
        <f>P10</f>
        <v>289.43689999999998</v>
      </c>
      <c r="R10" s="20">
        <f>Q10</f>
        <v>289.43689999999998</v>
      </c>
      <c r="S10" s="19">
        <f>Q10</f>
        <v>289.43689999999998</v>
      </c>
      <c r="T10" s="19">
        <f>S10</f>
        <v>289.43689999999998</v>
      </c>
      <c r="U10" s="19">
        <f>T10</f>
        <v>289.43689999999998</v>
      </c>
      <c r="V10" s="19">
        <f>U10</f>
        <v>289.43689999999998</v>
      </c>
      <c r="W10" s="20">
        <f>V10</f>
        <v>289.43689999999998</v>
      </c>
    </row>
    <row r="11" spans="1:24" ht="14.5">
      <c r="A11" s="9" t="s">
        <v>125</v>
      </c>
      <c r="B11" s="11">
        <f>SUM(B7:B10)</f>
        <v>4645.0717999999997</v>
      </c>
      <c r="C11" s="11">
        <f>SUM(C7:C10)</f>
        <v>4699.8318999999992</v>
      </c>
      <c r="H11" s="11">
        <f t="shared" ref="H11:W11" si="0">SUM(H7:H10)</f>
        <v>5273.7982000000002</v>
      </c>
      <c r="I11" s="11">
        <f t="shared" si="0"/>
        <v>5700.5946216399288</v>
      </c>
      <c r="J11" s="11">
        <f t="shared" si="0"/>
        <v>6345.5625588087296</v>
      </c>
      <c r="K11" s="11">
        <f t="shared" si="0"/>
        <v>6159.5946346940791</v>
      </c>
      <c r="L11" s="11">
        <f t="shared" si="0"/>
        <v>6388.0676897782114</v>
      </c>
      <c r="M11" s="12">
        <f t="shared" si="0"/>
        <v>6388.0676897782114</v>
      </c>
      <c r="N11" s="11">
        <f t="shared" si="0"/>
        <v>6792.036186510727</v>
      </c>
      <c r="O11" s="11">
        <f t="shared" si="0"/>
        <v>7510.601932959391</v>
      </c>
      <c r="P11" s="11">
        <f t="shared" si="0"/>
        <v>7411.4829696543375</v>
      </c>
      <c r="Q11" s="11">
        <f t="shared" si="0"/>
        <v>7977.5779188233846</v>
      </c>
      <c r="R11" s="12">
        <f t="shared" si="0"/>
        <v>7977.5779188233846</v>
      </c>
      <c r="S11" s="11">
        <f t="shared" si="0"/>
        <v>8473.9390062461625</v>
      </c>
      <c r="T11" s="11">
        <f t="shared" si="0"/>
        <v>9333.733867011957</v>
      </c>
      <c r="U11" s="11">
        <f t="shared" si="0"/>
        <v>9041.6545106344329</v>
      </c>
      <c r="V11" s="11">
        <f t="shared" si="0"/>
        <v>9754.9096701704093</v>
      </c>
      <c r="W11" s="12">
        <f t="shared" si="0"/>
        <v>9754.9096701704093</v>
      </c>
    </row>
    <row r="12" spans="1:24" ht="14.5">
      <c r="A12" s="17" t="s">
        <v>126</v>
      </c>
      <c r="B12" s="18">
        <v>6539.0618000000004</v>
      </c>
      <c r="C12" s="18">
        <v>6655.1886000000004</v>
      </c>
      <c r="H12" s="18">
        <v>6779.9748</v>
      </c>
      <c r="I12" s="26">
        <f>H12+Drivers!I50-Drivers!I47</f>
        <v>6961.9748</v>
      </c>
      <c r="J12" s="26">
        <f>I12+Drivers!J50-Drivers!J47</f>
        <v>7180.9748</v>
      </c>
      <c r="K12" s="26">
        <f>J12+Drivers!K50-Drivers!K47</f>
        <v>7406.9748</v>
      </c>
      <c r="L12" s="26">
        <f>K12+Drivers!L50-Drivers!L47</f>
        <v>7629.9748</v>
      </c>
      <c r="M12" s="20">
        <f>L12</f>
        <v>7629.9748</v>
      </c>
      <c r="N12" s="26">
        <f>L12+Drivers!N50-Drivers!N47</f>
        <v>7803.9748</v>
      </c>
      <c r="O12" s="26">
        <f>N12+Drivers!O50-Drivers!O47</f>
        <v>7969.9748</v>
      </c>
      <c r="P12" s="26">
        <f>O12+Drivers!P50-Drivers!P47</f>
        <v>8127.9748</v>
      </c>
      <c r="Q12" s="26">
        <f>P12+Drivers!Q50-Drivers!Q47</f>
        <v>8267.9748</v>
      </c>
      <c r="R12" s="20">
        <f>Q12</f>
        <v>8267.9748</v>
      </c>
      <c r="S12" s="26">
        <f>Q12+Drivers!S50-Drivers!S47</f>
        <v>8381.9748</v>
      </c>
      <c r="T12" s="26">
        <f>S12+Drivers!T50-Drivers!T47</f>
        <v>8487.9748</v>
      </c>
      <c r="U12" s="26">
        <f>T12+Drivers!U50-Drivers!U47</f>
        <v>8585.9748</v>
      </c>
      <c r="V12" s="26">
        <f>U12+Drivers!V50-Drivers!V47</f>
        <v>8665.9748</v>
      </c>
      <c r="W12" s="20">
        <f>V12</f>
        <v>8665.9748</v>
      </c>
    </row>
    <row r="13" spans="1:24" ht="14.5">
      <c r="A13" s="17" t="s">
        <v>127</v>
      </c>
      <c r="B13" s="18">
        <v>510.5883</v>
      </c>
      <c r="C13" s="18">
        <v>497.1866</v>
      </c>
      <c r="H13" s="18">
        <v>485.01499999999999</v>
      </c>
      <c r="I13" s="26">
        <f>H13-Drivers!I48</f>
        <v>478.315</v>
      </c>
      <c r="J13" s="26">
        <f>I13-Drivers!J48</f>
        <v>471.61500000000001</v>
      </c>
      <c r="K13" s="26">
        <f>J13-Drivers!K48</f>
        <v>464.91500000000002</v>
      </c>
      <c r="L13" s="26">
        <f>K13-Drivers!L48</f>
        <v>458.21500000000003</v>
      </c>
      <c r="M13" s="20">
        <f>L13</f>
        <v>458.21500000000003</v>
      </c>
      <c r="N13" s="26">
        <f>L13-Drivers!N48</f>
        <v>451.51500000000004</v>
      </c>
      <c r="O13" s="26">
        <f>N13-Drivers!O48</f>
        <v>444.81500000000005</v>
      </c>
      <c r="P13" s="26">
        <f>O13-Drivers!P48</f>
        <v>438.11500000000007</v>
      </c>
      <c r="Q13" s="26">
        <f>P13-Drivers!Q48</f>
        <v>431.41500000000008</v>
      </c>
      <c r="R13" s="20">
        <f>Q13</f>
        <v>431.41500000000008</v>
      </c>
      <c r="S13" s="26">
        <f>Q13-Drivers!S48</f>
        <v>424.71500000000009</v>
      </c>
      <c r="T13" s="26">
        <f>S13-Drivers!T48</f>
        <v>418.0150000000001</v>
      </c>
      <c r="U13" s="26">
        <f>T13-Drivers!U48</f>
        <v>411.31500000000011</v>
      </c>
      <c r="V13" s="26">
        <f>U13-Drivers!V48</f>
        <v>404.61500000000012</v>
      </c>
      <c r="W13" s="20">
        <f>V13</f>
        <v>404.61500000000012</v>
      </c>
    </row>
    <row r="14" spans="1:24" ht="14.5">
      <c r="A14" s="17" t="s">
        <v>128</v>
      </c>
      <c r="B14" s="18">
        <v>340.51459999999997</v>
      </c>
      <c r="C14" s="18">
        <v>301.87119999999999</v>
      </c>
      <c r="H14" s="18">
        <v>301.87119999999999</v>
      </c>
      <c r="I14" s="19">
        <f t="shared" ref="I14:L15" si="1">H14</f>
        <v>301.87119999999999</v>
      </c>
      <c r="J14" s="19">
        <f t="shared" si="1"/>
        <v>301.87119999999999</v>
      </c>
      <c r="K14" s="19">
        <f t="shared" si="1"/>
        <v>301.87119999999999</v>
      </c>
      <c r="L14" s="19">
        <f t="shared" si="1"/>
        <v>301.87119999999999</v>
      </c>
      <c r="M14" s="20">
        <f>L14</f>
        <v>301.87119999999999</v>
      </c>
      <c r="N14" s="19">
        <f>L14</f>
        <v>301.87119999999999</v>
      </c>
      <c r="O14" s="19">
        <f t="shared" ref="O14:Q15" si="2">N14</f>
        <v>301.87119999999999</v>
      </c>
      <c r="P14" s="19">
        <f t="shared" si="2"/>
        <v>301.87119999999999</v>
      </c>
      <c r="Q14" s="19">
        <f t="shared" si="2"/>
        <v>301.87119999999999</v>
      </c>
      <c r="R14" s="20">
        <f>Q14</f>
        <v>301.87119999999999</v>
      </c>
      <c r="S14" s="19">
        <f>Q14</f>
        <v>301.87119999999999</v>
      </c>
      <c r="T14" s="19">
        <f t="shared" ref="T14:V15" si="3">S14</f>
        <v>301.87119999999999</v>
      </c>
      <c r="U14" s="19">
        <f t="shared" si="3"/>
        <v>301.87119999999999</v>
      </c>
      <c r="V14" s="19">
        <f t="shared" si="3"/>
        <v>301.87119999999999</v>
      </c>
      <c r="W14" s="20">
        <f>V14</f>
        <v>301.87119999999999</v>
      </c>
    </row>
    <row r="15" spans="1:24" ht="14.5">
      <c r="A15" s="17" t="s">
        <v>129</v>
      </c>
      <c r="B15" s="18">
        <v>533.1558</v>
      </c>
      <c r="C15" s="18">
        <v>551.99839999999995</v>
      </c>
      <c r="H15" s="18">
        <v>452.8503</v>
      </c>
      <c r="I15" s="19">
        <f t="shared" si="1"/>
        <v>452.8503</v>
      </c>
      <c r="J15" s="19">
        <f t="shared" si="1"/>
        <v>452.8503</v>
      </c>
      <c r="K15" s="19">
        <f t="shared" si="1"/>
        <v>452.8503</v>
      </c>
      <c r="L15" s="19">
        <f t="shared" si="1"/>
        <v>452.8503</v>
      </c>
      <c r="M15" s="20">
        <f>L15</f>
        <v>452.8503</v>
      </c>
      <c r="N15" s="19">
        <f>L15</f>
        <v>452.8503</v>
      </c>
      <c r="O15" s="19">
        <f t="shared" si="2"/>
        <v>452.8503</v>
      </c>
      <c r="P15" s="19">
        <f t="shared" si="2"/>
        <v>452.8503</v>
      </c>
      <c r="Q15" s="19">
        <f t="shared" si="2"/>
        <v>452.8503</v>
      </c>
      <c r="R15" s="20">
        <f>Q15</f>
        <v>452.8503</v>
      </c>
      <c r="S15" s="19">
        <f>Q15</f>
        <v>452.8503</v>
      </c>
      <c r="T15" s="19">
        <f t="shared" si="3"/>
        <v>452.8503</v>
      </c>
      <c r="U15" s="19">
        <f t="shared" si="3"/>
        <v>452.8503</v>
      </c>
      <c r="V15" s="19">
        <f t="shared" si="3"/>
        <v>452.8503</v>
      </c>
      <c r="W15" s="20">
        <f>V15</f>
        <v>452.8503</v>
      </c>
    </row>
    <row r="16" spans="1:24" ht="14.5">
      <c r="A16" s="9" t="s">
        <v>130</v>
      </c>
      <c r="B16" s="11">
        <f>SUM(B12:B15)</f>
        <v>7923.3205000000016</v>
      </c>
      <c r="C16" s="11">
        <f>SUM(C12:C15)</f>
        <v>8006.2448000000004</v>
      </c>
      <c r="H16" s="11">
        <f t="shared" ref="H16:W16" si="4">SUM(H12:H15)</f>
        <v>8019.7112999999999</v>
      </c>
      <c r="I16" s="11">
        <f t="shared" si="4"/>
        <v>8195.0112999999983</v>
      </c>
      <c r="J16" s="11">
        <f t="shared" si="4"/>
        <v>8407.3112999999994</v>
      </c>
      <c r="K16" s="11">
        <f t="shared" si="4"/>
        <v>8626.6112999999987</v>
      </c>
      <c r="L16" s="11">
        <f t="shared" si="4"/>
        <v>8842.9112999999998</v>
      </c>
      <c r="M16" s="12">
        <f t="shared" si="4"/>
        <v>8842.9112999999998</v>
      </c>
      <c r="N16" s="11">
        <f t="shared" si="4"/>
        <v>9010.211299999999</v>
      </c>
      <c r="O16" s="11">
        <f t="shared" si="4"/>
        <v>9169.5113000000001</v>
      </c>
      <c r="P16" s="11">
        <f t="shared" si="4"/>
        <v>9320.8112999999994</v>
      </c>
      <c r="Q16" s="11">
        <f t="shared" si="4"/>
        <v>9454.1113000000005</v>
      </c>
      <c r="R16" s="12">
        <f t="shared" si="4"/>
        <v>9454.1113000000005</v>
      </c>
      <c r="S16" s="11">
        <f t="shared" si="4"/>
        <v>9561.4112999999998</v>
      </c>
      <c r="T16" s="11">
        <f t="shared" si="4"/>
        <v>9660.711299999999</v>
      </c>
      <c r="U16" s="11">
        <f t="shared" si="4"/>
        <v>9752.0113000000001</v>
      </c>
      <c r="V16" s="11">
        <f t="shared" si="4"/>
        <v>9825.3112999999994</v>
      </c>
      <c r="W16" s="12">
        <f t="shared" si="4"/>
        <v>9825.3112999999994</v>
      </c>
    </row>
    <row r="17" spans="1:24" ht="14.5">
      <c r="A17" s="9" t="s">
        <v>131</v>
      </c>
      <c r="B17" s="11">
        <f>B11+B16</f>
        <v>12568.392300000001</v>
      </c>
      <c r="C17" s="11">
        <f>C11+C16</f>
        <v>12706.0767</v>
      </c>
      <c r="H17" s="11">
        <f t="shared" ref="H17:W17" si="5">H11+H16</f>
        <v>13293.5095</v>
      </c>
      <c r="I17" s="11">
        <f t="shared" si="5"/>
        <v>13895.605921639926</v>
      </c>
      <c r="J17" s="11">
        <f t="shared" si="5"/>
        <v>14752.873858808729</v>
      </c>
      <c r="K17" s="11">
        <f t="shared" si="5"/>
        <v>14786.205934694077</v>
      </c>
      <c r="L17" s="11">
        <f t="shared" si="5"/>
        <v>15230.97898977821</v>
      </c>
      <c r="M17" s="12">
        <f t="shared" si="5"/>
        <v>15230.97898977821</v>
      </c>
      <c r="N17" s="11">
        <f t="shared" si="5"/>
        <v>15802.247486510725</v>
      </c>
      <c r="O17" s="11">
        <f t="shared" si="5"/>
        <v>16680.113232959389</v>
      </c>
      <c r="P17" s="11">
        <f t="shared" si="5"/>
        <v>16732.294269654336</v>
      </c>
      <c r="Q17" s="11">
        <f t="shared" si="5"/>
        <v>17431.689218823383</v>
      </c>
      <c r="R17" s="12">
        <f t="shared" si="5"/>
        <v>17431.689218823383</v>
      </c>
      <c r="S17" s="11">
        <f t="shared" si="5"/>
        <v>18035.35030624616</v>
      </c>
      <c r="T17" s="11">
        <f t="shared" si="5"/>
        <v>18994.445167011956</v>
      </c>
      <c r="U17" s="11">
        <f t="shared" si="5"/>
        <v>18793.665810634433</v>
      </c>
      <c r="V17" s="11">
        <f t="shared" si="5"/>
        <v>19580.220970170409</v>
      </c>
      <c r="W17" s="12">
        <f t="shared" si="5"/>
        <v>19580.220970170409</v>
      </c>
    </row>
    <row r="19" spans="1:24">
      <c r="A19" s="7" t="s">
        <v>132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spans="1:24" ht="14.5">
      <c r="A20" s="17" t="s">
        <v>133</v>
      </c>
      <c r="B20" s="18">
        <v>1629.65</v>
      </c>
      <c r="C20" s="18">
        <v>1242.2235000000001</v>
      </c>
      <c r="H20" s="18">
        <v>1041.3128999999999</v>
      </c>
      <c r="I20" s="26">
        <f>Drivers!I57-I25</f>
        <v>1341.3129000000004</v>
      </c>
      <c r="J20" s="26">
        <f>Drivers!J57-J25</f>
        <v>1691.3129000000004</v>
      </c>
      <c r="K20" s="26">
        <f>Drivers!K57-K25</f>
        <v>2041.3128999999999</v>
      </c>
      <c r="L20" s="26">
        <f>Drivers!L57-L25</f>
        <v>2141.3128999999999</v>
      </c>
      <c r="M20" s="20">
        <f>L20</f>
        <v>2141.3128999999999</v>
      </c>
      <c r="N20" s="26">
        <f>Drivers!N57-N25</f>
        <v>2341.3128999999999</v>
      </c>
      <c r="O20" s="26">
        <f>Drivers!O57-O25</f>
        <v>2541.3128999999999</v>
      </c>
      <c r="P20" s="26">
        <f>Drivers!P57-P25</f>
        <v>2741.3128999999999</v>
      </c>
      <c r="Q20" s="26">
        <f>Drivers!Q57-Q25</f>
        <v>2941.3128999999999</v>
      </c>
      <c r="R20" s="20">
        <f>Q20</f>
        <v>2941.3128999999999</v>
      </c>
      <c r="S20" s="26">
        <f>Drivers!S57-S25</f>
        <v>3091.3128999999999</v>
      </c>
      <c r="T20" s="26">
        <f>Drivers!T57-T25</f>
        <v>3241.3128999999999</v>
      </c>
      <c r="U20" s="26">
        <f>Drivers!U57-U25</f>
        <v>3391.3128999999999</v>
      </c>
      <c r="V20" s="26">
        <f>Drivers!V57-V25</f>
        <v>3541.3128999999999</v>
      </c>
      <c r="W20" s="20">
        <f>V20</f>
        <v>3541.3128999999999</v>
      </c>
    </row>
    <row r="21" spans="1:24" ht="14.5">
      <c r="A21" s="17" t="s">
        <v>134</v>
      </c>
      <c r="B21" s="18">
        <v>803.49019999999996</v>
      </c>
      <c r="C21" s="18">
        <v>900.24620000000004</v>
      </c>
      <c r="H21" s="18">
        <v>1087.1497999999999</v>
      </c>
      <c r="I21" s="26">
        <f>-Drivers!I53*IS!I8/91.25</f>
        <v>1188.9489169709586</v>
      </c>
      <c r="J21" s="26">
        <f>-Drivers!J53*IS!J8/91.25</f>
        <v>1382.3493400200907</v>
      </c>
      <c r="K21" s="26">
        <f>-Drivers!K53*IS!K8/91.25</f>
        <v>1408.2332363529817</v>
      </c>
      <c r="L21" s="26">
        <f>-Drivers!L53*IS!L8/91.25</f>
        <v>1388.390953738412</v>
      </c>
      <c r="M21" s="20">
        <f>L21</f>
        <v>1388.390953738412</v>
      </c>
      <c r="N21" s="26">
        <f>-Drivers!N53*IS!N8/91.25</f>
        <v>1355.9837604924653</v>
      </c>
      <c r="O21" s="26">
        <f>-Drivers!O53*IS!O8/91.25</f>
        <v>1563.0741902116235</v>
      </c>
      <c r="P21" s="26">
        <f>-Drivers!P53*IS!P8/91.25</f>
        <v>1649.1462712163805</v>
      </c>
      <c r="Q21" s="26">
        <f>-Drivers!Q53*IS!Q8/91.25</f>
        <v>1661.7783858145337</v>
      </c>
      <c r="R21" s="20">
        <f>Q21</f>
        <v>1661.7783858145337</v>
      </c>
      <c r="S21" s="26">
        <f>-Drivers!S53*IS!S8/91.25</f>
        <v>1609.9096141241041</v>
      </c>
      <c r="T21" s="26">
        <f>-Drivers!T53*IS!T8/91.25</f>
        <v>1836.1515503611683</v>
      </c>
      <c r="U21" s="26">
        <f>-Drivers!U53*IS!U8/91.25</f>
        <v>1933.282211564919</v>
      </c>
      <c r="V21" s="26">
        <f>-Drivers!V53*IS!V8/91.25</f>
        <v>1963.797779474573</v>
      </c>
      <c r="W21" s="20">
        <f>V21</f>
        <v>1963.797779474573</v>
      </c>
    </row>
    <row r="22" spans="1:24" ht="14.5">
      <c r="A22" s="17" t="s">
        <v>135</v>
      </c>
      <c r="B22" s="18">
        <v>10.3965</v>
      </c>
      <c r="C22" s="18">
        <v>16.472000000000001</v>
      </c>
      <c r="H22" s="18">
        <v>11.367599999999999</v>
      </c>
      <c r="I22" s="19">
        <f t="shared" ref="I22:L23" si="6">H22</f>
        <v>11.367599999999999</v>
      </c>
      <c r="J22" s="19">
        <f t="shared" si="6"/>
        <v>11.367599999999999</v>
      </c>
      <c r="K22" s="19">
        <f t="shared" si="6"/>
        <v>11.367599999999999</v>
      </c>
      <c r="L22" s="19">
        <f t="shared" si="6"/>
        <v>11.367599999999999</v>
      </c>
      <c r="M22" s="20">
        <f>L22</f>
        <v>11.367599999999999</v>
      </c>
      <c r="N22" s="19">
        <f>L22</f>
        <v>11.367599999999999</v>
      </c>
      <c r="O22" s="19">
        <f t="shared" ref="O22:Q23" si="7">N22</f>
        <v>11.367599999999999</v>
      </c>
      <c r="P22" s="19">
        <f t="shared" si="7"/>
        <v>11.367599999999999</v>
      </c>
      <c r="Q22" s="19">
        <f t="shared" si="7"/>
        <v>11.367599999999999</v>
      </c>
      <c r="R22" s="20">
        <f>Q22</f>
        <v>11.367599999999999</v>
      </c>
      <c r="S22" s="19">
        <f>Q22</f>
        <v>11.367599999999999</v>
      </c>
      <c r="T22" s="19">
        <f t="shared" ref="T22:V23" si="8">S22</f>
        <v>11.367599999999999</v>
      </c>
      <c r="U22" s="19">
        <f t="shared" si="8"/>
        <v>11.367599999999999</v>
      </c>
      <c r="V22" s="19">
        <f t="shared" si="8"/>
        <v>11.367599999999999</v>
      </c>
      <c r="W22" s="20">
        <f>V22</f>
        <v>11.367599999999999</v>
      </c>
    </row>
    <row r="23" spans="1:24" ht="14.5">
      <c r="A23" s="17" t="s">
        <v>136</v>
      </c>
      <c r="B23" s="18">
        <v>955.07420000000002</v>
      </c>
      <c r="C23" s="18">
        <v>1055.3720000000001</v>
      </c>
      <c r="H23" s="18">
        <v>1255.6982</v>
      </c>
      <c r="I23" s="19">
        <f t="shared" si="6"/>
        <v>1255.6982</v>
      </c>
      <c r="J23" s="19">
        <f t="shared" si="6"/>
        <v>1255.6982</v>
      </c>
      <c r="K23" s="19">
        <f t="shared" si="6"/>
        <v>1255.6982</v>
      </c>
      <c r="L23" s="19">
        <f t="shared" si="6"/>
        <v>1255.6982</v>
      </c>
      <c r="M23" s="20">
        <f>L23</f>
        <v>1255.6982</v>
      </c>
      <c r="N23" s="19">
        <f>L23</f>
        <v>1255.6982</v>
      </c>
      <c r="O23" s="19">
        <f t="shared" si="7"/>
        <v>1255.6982</v>
      </c>
      <c r="P23" s="19">
        <f t="shared" si="7"/>
        <v>1255.6982</v>
      </c>
      <c r="Q23" s="19">
        <f t="shared" si="7"/>
        <v>1255.6982</v>
      </c>
      <c r="R23" s="20">
        <f>Q23</f>
        <v>1255.6982</v>
      </c>
      <c r="S23" s="19">
        <f>Q23</f>
        <v>1255.6982</v>
      </c>
      <c r="T23" s="19">
        <f t="shared" si="8"/>
        <v>1255.6982</v>
      </c>
      <c r="U23" s="19">
        <f t="shared" si="8"/>
        <v>1255.6982</v>
      </c>
      <c r="V23" s="19">
        <f t="shared" si="8"/>
        <v>1255.6982</v>
      </c>
      <c r="W23" s="20">
        <f>V23</f>
        <v>1255.6982</v>
      </c>
    </row>
    <row r="24" spans="1:24" ht="14.5">
      <c r="A24" s="9" t="s">
        <v>137</v>
      </c>
      <c r="B24" s="11">
        <f>SUM(B20:B23)</f>
        <v>3398.6108999999997</v>
      </c>
      <c r="C24" s="11">
        <f>SUM(C20:C23)</f>
        <v>3214.3137000000006</v>
      </c>
      <c r="H24" s="11">
        <f t="shared" ref="H24:W24" si="9">SUM(H20:H23)</f>
        <v>3395.5285000000003</v>
      </c>
      <c r="I24" s="11">
        <f t="shared" si="9"/>
        <v>3797.3276169709588</v>
      </c>
      <c r="J24" s="11">
        <f t="shared" si="9"/>
        <v>4340.7280400200916</v>
      </c>
      <c r="K24" s="11">
        <f t="shared" si="9"/>
        <v>4716.6119363529815</v>
      </c>
      <c r="L24" s="11">
        <f t="shared" si="9"/>
        <v>4796.7696537384118</v>
      </c>
      <c r="M24" s="12">
        <f t="shared" si="9"/>
        <v>4796.7696537384118</v>
      </c>
      <c r="N24" s="11">
        <f t="shared" si="9"/>
        <v>4964.3624604924653</v>
      </c>
      <c r="O24" s="11">
        <f t="shared" si="9"/>
        <v>5371.4528902116226</v>
      </c>
      <c r="P24" s="11">
        <f t="shared" si="9"/>
        <v>5657.5249712163795</v>
      </c>
      <c r="Q24" s="11">
        <f t="shared" si="9"/>
        <v>5870.1570858145333</v>
      </c>
      <c r="R24" s="12">
        <f t="shared" si="9"/>
        <v>5870.1570858145333</v>
      </c>
      <c r="S24" s="11">
        <f t="shared" si="9"/>
        <v>5968.2883141241036</v>
      </c>
      <c r="T24" s="11">
        <f t="shared" si="9"/>
        <v>6344.5302503611674</v>
      </c>
      <c r="U24" s="11">
        <f t="shared" si="9"/>
        <v>6591.660911564918</v>
      </c>
      <c r="V24" s="11">
        <f t="shared" si="9"/>
        <v>6772.1764794745723</v>
      </c>
      <c r="W24" s="12">
        <f t="shared" si="9"/>
        <v>6772.1764794745723</v>
      </c>
    </row>
    <row r="25" spans="1:24" ht="14.5">
      <c r="A25" s="17" t="s">
        <v>138</v>
      </c>
      <c r="B25" s="18">
        <v>2115.9252000000001</v>
      </c>
      <c r="C25" s="18">
        <v>2039.2275999999999</v>
      </c>
      <c r="H25" s="18">
        <v>2090.8429999999998</v>
      </c>
      <c r="I25" s="19">
        <f t="shared" ref="I25:M26" si="10">H25</f>
        <v>2090.8429999999998</v>
      </c>
      <c r="J25" s="19">
        <f t="shared" si="10"/>
        <v>2090.8429999999998</v>
      </c>
      <c r="K25" s="19">
        <f t="shared" si="10"/>
        <v>2090.8429999999998</v>
      </c>
      <c r="L25" s="19">
        <f t="shared" si="10"/>
        <v>2090.8429999999998</v>
      </c>
      <c r="M25" s="20">
        <f t="shared" si="10"/>
        <v>2090.8429999999998</v>
      </c>
      <c r="N25" s="19">
        <f>L25</f>
        <v>2090.8429999999998</v>
      </c>
      <c r="O25" s="19">
        <f t="shared" ref="O25:R26" si="11">N25</f>
        <v>2090.8429999999998</v>
      </c>
      <c r="P25" s="19">
        <f t="shared" si="11"/>
        <v>2090.8429999999998</v>
      </c>
      <c r="Q25" s="19">
        <f t="shared" si="11"/>
        <v>2090.8429999999998</v>
      </c>
      <c r="R25" s="20">
        <f t="shared" si="11"/>
        <v>2090.8429999999998</v>
      </c>
      <c r="S25" s="19">
        <f>Q25</f>
        <v>2090.8429999999998</v>
      </c>
      <c r="T25" s="19">
        <f t="shared" ref="T25:W26" si="12">S25</f>
        <v>2090.8429999999998</v>
      </c>
      <c r="U25" s="19">
        <f t="shared" si="12"/>
        <v>2090.8429999999998</v>
      </c>
      <c r="V25" s="19">
        <f t="shared" si="12"/>
        <v>2090.8429999999998</v>
      </c>
      <c r="W25" s="20">
        <f t="shared" si="12"/>
        <v>2090.8429999999998</v>
      </c>
    </row>
    <row r="26" spans="1:24" ht="14.5">
      <c r="A26" s="17" t="s">
        <v>139</v>
      </c>
      <c r="B26" s="18">
        <v>514.24469999999997</v>
      </c>
      <c r="C26" s="18">
        <v>499.58839999999998</v>
      </c>
      <c r="H26" s="18">
        <v>384.03230000000002</v>
      </c>
      <c r="I26" s="19">
        <f t="shared" si="10"/>
        <v>384.03230000000002</v>
      </c>
      <c r="J26" s="19">
        <f t="shared" si="10"/>
        <v>384.03230000000002</v>
      </c>
      <c r="K26" s="19">
        <f t="shared" si="10"/>
        <v>384.03230000000002</v>
      </c>
      <c r="L26" s="19">
        <f t="shared" si="10"/>
        <v>384.03230000000002</v>
      </c>
      <c r="M26" s="20">
        <f t="shared" si="10"/>
        <v>384.03230000000002</v>
      </c>
      <c r="N26" s="19">
        <f>L26</f>
        <v>384.03230000000002</v>
      </c>
      <c r="O26" s="19">
        <f t="shared" si="11"/>
        <v>384.03230000000002</v>
      </c>
      <c r="P26" s="19">
        <f t="shared" si="11"/>
        <v>384.03230000000002</v>
      </c>
      <c r="Q26" s="19">
        <f t="shared" si="11"/>
        <v>384.03230000000002</v>
      </c>
      <c r="R26" s="20">
        <f t="shared" si="11"/>
        <v>384.03230000000002</v>
      </c>
      <c r="S26" s="19">
        <f>Q26</f>
        <v>384.03230000000002</v>
      </c>
      <c r="T26" s="19">
        <f t="shared" si="12"/>
        <v>384.03230000000002</v>
      </c>
      <c r="U26" s="19">
        <f t="shared" si="12"/>
        <v>384.03230000000002</v>
      </c>
      <c r="V26" s="19">
        <f t="shared" si="12"/>
        <v>384.03230000000002</v>
      </c>
      <c r="W26" s="20">
        <f t="shared" si="12"/>
        <v>384.03230000000002</v>
      </c>
    </row>
    <row r="27" spans="1:24" ht="14.5">
      <c r="A27" s="9" t="s">
        <v>140</v>
      </c>
      <c r="B27" s="11">
        <f>B24+B25+B26</f>
        <v>6028.7807999999995</v>
      </c>
      <c r="C27" s="11">
        <f>C24+C25+C26</f>
        <v>5753.1297000000004</v>
      </c>
      <c r="H27" s="11">
        <f t="shared" ref="H27:W27" si="13">H24+H25+H26</f>
        <v>5870.4038</v>
      </c>
      <c r="I27" s="11">
        <f t="shared" si="13"/>
        <v>6272.2029169709585</v>
      </c>
      <c r="J27" s="11">
        <f t="shared" si="13"/>
        <v>6815.6033400200913</v>
      </c>
      <c r="K27" s="11">
        <f t="shared" si="13"/>
        <v>7191.4872363529812</v>
      </c>
      <c r="L27" s="11">
        <f t="shared" si="13"/>
        <v>7271.6449537384115</v>
      </c>
      <c r="M27" s="12">
        <f t="shared" si="13"/>
        <v>7271.6449537384115</v>
      </c>
      <c r="N27" s="11">
        <f t="shared" si="13"/>
        <v>7439.237760492465</v>
      </c>
      <c r="O27" s="11">
        <f t="shared" si="13"/>
        <v>7846.3281902116223</v>
      </c>
      <c r="P27" s="11">
        <f t="shared" si="13"/>
        <v>8132.4002712163792</v>
      </c>
      <c r="Q27" s="11">
        <f t="shared" si="13"/>
        <v>8345.032385814533</v>
      </c>
      <c r="R27" s="12">
        <f t="shared" si="13"/>
        <v>8345.032385814533</v>
      </c>
      <c r="S27" s="11">
        <f t="shared" si="13"/>
        <v>8443.1636141241033</v>
      </c>
      <c r="T27" s="11">
        <f t="shared" si="13"/>
        <v>8819.4055503611689</v>
      </c>
      <c r="U27" s="11">
        <f t="shared" si="13"/>
        <v>9066.5362115649186</v>
      </c>
      <c r="V27" s="11">
        <f t="shared" si="13"/>
        <v>9247.0517794745738</v>
      </c>
      <c r="W27" s="12">
        <f t="shared" si="13"/>
        <v>9247.0517794745738</v>
      </c>
    </row>
    <row r="28" spans="1:24" ht="14.5">
      <c r="A28" s="17" t="s">
        <v>141</v>
      </c>
      <c r="B28" s="18">
        <v>575.91520000000003</v>
      </c>
      <c r="C28" s="18">
        <v>690.18290000000002</v>
      </c>
      <c r="H28" s="18">
        <v>643.36980000000005</v>
      </c>
      <c r="I28" s="26">
        <f>H28-IS!I25+CF!I24</f>
        <v>665.40256951358674</v>
      </c>
      <c r="J28" s="26">
        <f>I28-IS!J25+CF!J24</f>
        <v>698.35865849615197</v>
      </c>
      <c r="K28" s="26">
        <f>J28-IS!K25+CF!K24</f>
        <v>680.8964629491602</v>
      </c>
      <c r="L28" s="26">
        <f>K28-IS!L25+CF!L24</f>
        <v>719.18107340752397</v>
      </c>
      <c r="M28" s="20">
        <f>L28</f>
        <v>719.18107340752397</v>
      </c>
      <c r="N28" s="26">
        <f>L28-IS!N25+CF!N24</f>
        <v>761.56702085526251</v>
      </c>
      <c r="O28" s="26">
        <f>N28-IS!O25+CF!O24</f>
        <v>810.99842911186056</v>
      </c>
      <c r="P28" s="26">
        <f>O28-IS!P25+CF!P24</f>
        <v>806.85962956516391</v>
      </c>
      <c r="Q28" s="26">
        <f>P28-IS!Q25+CF!Q24</f>
        <v>857.96972719510779</v>
      </c>
      <c r="R28" s="20">
        <f>Q28</f>
        <v>857.96972719510779</v>
      </c>
      <c r="S28" s="26">
        <f>Q28-IS!S25+CF!S24</f>
        <v>911.05036240199456</v>
      </c>
      <c r="T28" s="26">
        <f>S28-IS!T25+CF!T24</f>
        <v>972.24991947751118</v>
      </c>
      <c r="U28" s="26">
        <f>T28-IS!U25+CF!U24</f>
        <v>980.05887471540973</v>
      </c>
      <c r="V28" s="26">
        <f>U28-IS!V25+CF!V24</f>
        <v>1043.6930318361735</v>
      </c>
      <c r="W28" s="20">
        <f>V28</f>
        <v>1043.6930318361735</v>
      </c>
    </row>
    <row r="29" spans="1:24" ht="14.5">
      <c r="A29" s="9" t="s">
        <v>142</v>
      </c>
      <c r="B29" s="10">
        <v>5963.6962999999996</v>
      </c>
      <c r="C29" s="10">
        <v>6262.7641000000003</v>
      </c>
      <c r="H29" s="10">
        <v>6779.7356</v>
      </c>
      <c r="I29" s="29">
        <f>H29+IS!I26+CF!I23</f>
        <v>6958.0007351553832</v>
      </c>
      <c r="J29" s="29">
        <f>I29+IS!J26+CF!J23</f>
        <v>7238.912160292487</v>
      </c>
      <c r="K29" s="29">
        <f>J29+IS!K26+CF!K23</f>
        <v>6913.8225353919379</v>
      </c>
      <c r="L29" s="29">
        <f>K29+IS!L26+CF!L23</f>
        <v>7240.153262632276</v>
      </c>
      <c r="M29" s="12">
        <f>L29</f>
        <v>7240.153262632276</v>
      </c>
      <c r="N29" s="29">
        <f>L29+IS!N26+CF!N23</f>
        <v>7601.4430051629997</v>
      </c>
      <c r="O29" s="29">
        <f>N29+IS!O26+CF!O23</f>
        <v>8022.7869136359068</v>
      </c>
      <c r="P29" s="29">
        <f>O29+IS!P26+CF!P23</f>
        <v>7793.0346688727932</v>
      </c>
      <c r="Q29" s="29">
        <f>P29+IS!Q26+CF!Q23</f>
        <v>8228.6874058137437</v>
      </c>
      <c r="R29" s="12">
        <f>Q29</f>
        <v>8228.6874058137437</v>
      </c>
      <c r="S29" s="29">
        <f>Q29+IS!S26+CF!S23</f>
        <v>8681.1366297200639</v>
      </c>
      <c r="T29" s="29">
        <f>S29+IS!T26+CF!T23</f>
        <v>9202.7899971732768</v>
      </c>
      <c r="U29" s="29">
        <f>T29+IS!U26+CF!U23</f>
        <v>8747.0710243541034</v>
      </c>
      <c r="V29" s="29">
        <f>U29+IS!V26+CF!V23</f>
        <v>9289.4764588596609</v>
      </c>
      <c r="W29" s="12">
        <f>V29</f>
        <v>9289.4764588596609</v>
      </c>
    </row>
    <row r="30" spans="1:24" ht="14.5">
      <c r="A30" s="9" t="s">
        <v>143</v>
      </c>
      <c r="B30" s="11">
        <f>B28+B29</f>
        <v>6539.6115</v>
      </c>
      <c r="C30" s="11">
        <f>C28+C29</f>
        <v>6952.9470000000001</v>
      </c>
      <c r="H30" s="11">
        <f t="shared" ref="H30:W30" si="14">H28+H29</f>
        <v>7423.1054000000004</v>
      </c>
      <c r="I30" s="11">
        <f t="shared" si="14"/>
        <v>7623.4033046689701</v>
      </c>
      <c r="J30" s="11">
        <f t="shared" si="14"/>
        <v>7937.2708187886392</v>
      </c>
      <c r="K30" s="11">
        <f t="shared" si="14"/>
        <v>7594.7189983410981</v>
      </c>
      <c r="L30" s="11">
        <f t="shared" si="14"/>
        <v>7959.3343360398003</v>
      </c>
      <c r="M30" s="12">
        <f t="shared" si="14"/>
        <v>7959.3343360398003</v>
      </c>
      <c r="N30" s="11">
        <f t="shared" si="14"/>
        <v>8363.0100260182626</v>
      </c>
      <c r="O30" s="11">
        <f t="shared" si="14"/>
        <v>8833.7853427477676</v>
      </c>
      <c r="P30" s="11">
        <f t="shared" si="14"/>
        <v>8599.8942984379573</v>
      </c>
      <c r="Q30" s="11">
        <f t="shared" si="14"/>
        <v>9086.6571330088518</v>
      </c>
      <c r="R30" s="12">
        <f t="shared" si="14"/>
        <v>9086.6571330088518</v>
      </c>
      <c r="S30" s="11">
        <f t="shared" si="14"/>
        <v>9592.1869921220587</v>
      </c>
      <c r="T30" s="11">
        <f t="shared" si="14"/>
        <v>10175.039916650789</v>
      </c>
      <c r="U30" s="11">
        <f t="shared" si="14"/>
        <v>9727.1298990695141</v>
      </c>
      <c r="V30" s="11">
        <f t="shared" si="14"/>
        <v>10333.169490695835</v>
      </c>
      <c r="W30" s="12">
        <f t="shared" si="14"/>
        <v>10333.169490695835</v>
      </c>
    </row>
    <row r="31" spans="1:24" ht="14.5">
      <c r="A31" s="9" t="s">
        <v>144</v>
      </c>
      <c r="B31" s="11">
        <f>B27+B30</f>
        <v>12568.3923</v>
      </c>
      <c r="C31" s="11">
        <f>C27+C30</f>
        <v>12706.076700000001</v>
      </c>
      <c r="H31" s="11">
        <f t="shared" ref="H31:W31" si="15">H27+H30</f>
        <v>13293.5092</v>
      </c>
      <c r="I31" s="11">
        <f t="shared" si="15"/>
        <v>13895.60622163993</v>
      </c>
      <c r="J31" s="11">
        <f t="shared" si="15"/>
        <v>14752.87415880873</v>
      </c>
      <c r="K31" s="11">
        <f t="shared" si="15"/>
        <v>14786.20623469408</v>
      </c>
      <c r="L31" s="11">
        <f t="shared" si="15"/>
        <v>15230.979289778212</v>
      </c>
      <c r="M31" s="12">
        <f t="shared" si="15"/>
        <v>15230.979289778212</v>
      </c>
      <c r="N31" s="11">
        <f t="shared" si="15"/>
        <v>15802.247786510728</v>
      </c>
      <c r="O31" s="11">
        <f t="shared" si="15"/>
        <v>16680.113532959389</v>
      </c>
      <c r="P31" s="11">
        <f t="shared" si="15"/>
        <v>16732.294569654336</v>
      </c>
      <c r="Q31" s="11">
        <f t="shared" si="15"/>
        <v>17431.689518823383</v>
      </c>
      <c r="R31" s="12">
        <f t="shared" si="15"/>
        <v>17431.689518823383</v>
      </c>
      <c r="S31" s="11">
        <f t="shared" si="15"/>
        <v>18035.35060624616</v>
      </c>
      <c r="T31" s="11">
        <f t="shared" si="15"/>
        <v>18994.445467011959</v>
      </c>
      <c r="U31" s="11">
        <f t="shared" si="15"/>
        <v>18793.666110634433</v>
      </c>
      <c r="V31" s="11">
        <f t="shared" si="15"/>
        <v>19580.221270170408</v>
      </c>
      <c r="W31" s="12">
        <f t="shared" si="15"/>
        <v>19580.221270170408</v>
      </c>
    </row>
    <row r="32" spans="1:24" ht="14.5">
      <c r="A32" s="22" t="s">
        <v>145</v>
      </c>
      <c r="B32" s="23">
        <f>B17-B31</f>
        <v>0</v>
      </c>
      <c r="C32" s="23">
        <f>C17-C31</f>
        <v>0</v>
      </c>
      <c r="H32" s="23">
        <f t="shared" ref="H32:W32" si="16">H17-H31</f>
        <v>2.9999999969732016E-4</v>
      </c>
      <c r="I32" s="23">
        <f t="shared" si="16"/>
        <v>-3.0000000333529897E-4</v>
      </c>
      <c r="J32" s="23">
        <f t="shared" si="16"/>
        <v>-3.0000000151630957E-4</v>
      </c>
      <c r="K32" s="23">
        <f t="shared" si="16"/>
        <v>-3.0000000333529897E-4</v>
      </c>
      <c r="L32" s="23">
        <f t="shared" si="16"/>
        <v>-3.0000000151630957E-4</v>
      </c>
      <c r="M32" s="44">
        <f t="shared" si="16"/>
        <v>-3.0000000151630957E-4</v>
      </c>
      <c r="N32" s="23">
        <f t="shared" si="16"/>
        <v>-3.0000000333529897E-4</v>
      </c>
      <c r="O32" s="23">
        <f t="shared" si="16"/>
        <v>-2.9999999969732016E-4</v>
      </c>
      <c r="P32" s="23">
        <f t="shared" si="16"/>
        <v>-2.9999999969732016E-4</v>
      </c>
      <c r="Q32" s="23">
        <f t="shared" si="16"/>
        <v>-2.9999999969732016E-4</v>
      </c>
      <c r="R32" s="44">
        <f t="shared" si="16"/>
        <v>-2.9999999969732016E-4</v>
      </c>
      <c r="S32" s="23">
        <f t="shared" si="16"/>
        <v>-2.9999999969732016E-4</v>
      </c>
      <c r="T32" s="23">
        <f t="shared" si="16"/>
        <v>-3.0000000333529897E-4</v>
      </c>
      <c r="U32" s="23">
        <f t="shared" si="16"/>
        <v>-2.9999999969732016E-4</v>
      </c>
      <c r="V32" s="23">
        <f t="shared" si="16"/>
        <v>-2.9999999969732016E-4</v>
      </c>
      <c r="W32" s="44">
        <f t="shared" si="16"/>
        <v>-2.9999999969732016E-4</v>
      </c>
    </row>
    <row r="34" spans="1:23" ht="14.5">
      <c r="A34" s="9" t="s">
        <v>146</v>
      </c>
      <c r="B34" s="11">
        <f>B20+B25-B7</f>
        <v>2966.7372000000005</v>
      </c>
      <c r="C34" s="11">
        <f>C20+C25-C7</f>
        <v>2979.1773000000003</v>
      </c>
      <c r="H34" s="11">
        <f t="shared" ref="H34:W34" si="17">H20+H25-H7</f>
        <v>2782.183</v>
      </c>
      <c r="I34" s="11">
        <f t="shared" si="17"/>
        <v>2745.2028456389753</v>
      </c>
      <c r="J34" s="11">
        <f t="shared" si="17"/>
        <v>3363.017380513953</v>
      </c>
      <c r="K34" s="11">
        <f t="shared" si="17"/>
        <v>4108.8202866528336</v>
      </c>
      <c r="L34" s="11">
        <f t="shared" si="17"/>
        <v>3936.1697429863525</v>
      </c>
      <c r="M34" s="12">
        <f t="shared" si="17"/>
        <v>3936.1697429863525</v>
      </c>
      <c r="N34" s="11">
        <f t="shared" si="17"/>
        <v>3660.5996946414234</v>
      </c>
      <c r="O34" s="11">
        <f t="shared" si="17"/>
        <v>4029.556472518464</v>
      </c>
      <c r="P34" s="11">
        <f t="shared" si="17"/>
        <v>4662.6184504987314</v>
      </c>
      <c r="Q34" s="11">
        <f t="shared" si="17"/>
        <v>4349.1675925803156</v>
      </c>
      <c r="R34" s="12">
        <f t="shared" si="17"/>
        <v>4349.1675925803156</v>
      </c>
      <c r="S34" s="11">
        <f t="shared" si="17"/>
        <v>3811.4333578937526</v>
      </c>
      <c r="T34" s="11">
        <f t="shared" si="17"/>
        <v>4071.607295824329</v>
      </c>
      <c r="U34" s="11">
        <f t="shared" si="17"/>
        <v>4886.1409533322585</v>
      </c>
      <c r="V34" s="11">
        <f t="shared" si="17"/>
        <v>4449.2020358067493</v>
      </c>
      <c r="W34" s="12">
        <f t="shared" si="17"/>
        <v>4449.2020358067493</v>
      </c>
    </row>
    <row r="35" spans="1:23" ht="14.5">
      <c r="A35" s="13" t="s">
        <v>147</v>
      </c>
      <c r="B35" s="38">
        <f>B34/IS!B34</f>
        <v>2.0318353173162764</v>
      </c>
      <c r="C35" s="38">
        <f>C34/IS!C34</f>
        <v>1.6781141147697531</v>
      </c>
      <c r="H35" s="38">
        <f>H34/IS!H34</f>
        <v>1.4027591597248859</v>
      </c>
      <c r="M35" s="39">
        <f>M34/IS!M34</f>
        <v>1.8099428387544585</v>
      </c>
      <c r="R35" s="39">
        <f>R34/IS!R34</f>
        <v>1.4768350050472845</v>
      </c>
      <c r="W35" s="39">
        <f>W34/IS!W34</f>
        <v>1.2556300061544676</v>
      </c>
    </row>
  </sheetData>
  <phoneticPr fontId="3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33"/>
  <sheetViews>
    <sheetView showGridLines="0" workbookViewId="0">
      <pane xSplit="1" ySplit="5" topLeftCell="B6" activePane="bottomRight" state="frozen"/>
      <selection activeCell="AB50" sqref="AB50"/>
      <selection pane="topRight" activeCell="AB50" sqref="AB50"/>
      <selection pane="bottomLeft" activeCell="AB50" sqref="AB50"/>
      <selection pane="bottomRight" activeCell="AB50" sqref="AB50"/>
    </sheetView>
  </sheetViews>
  <sheetFormatPr defaultRowHeight="14"/>
  <cols>
    <col min="1" max="1" width="42" customWidth="1"/>
    <col min="2" max="23" width="10.453125" customWidth="1"/>
  </cols>
  <sheetData>
    <row r="1" spans="1:24" ht="16.5">
      <c r="A1" s="1" t="s">
        <v>148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>
      <c r="A2" s="3" t="s">
        <v>149</v>
      </c>
    </row>
    <row r="3" spans="1:24">
      <c r="A3" s="4" t="s">
        <v>150</v>
      </c>
    </row>
    <row r="5" spans="1:24" ht="14.5">
      <c r="A5" s="2"/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6" t="s">
        <v>14</v>
      </c>
      <c r="N5" s="5" t="s">
        <v>15</v>
      </c>
      <c r="O5" s="5" t="s">
        <v>16</v>
      </c>
      <c r="P5" s="5" t="s">
        <v>17</v>
      </c>
      <c r="Q5" s="5" t="s">
        <v>18</v>
      </c>
      <c r="R5" s="6" t="s">
        <v>19</v>
      </c>
      <c r="S5" s="5" t="s">
        <v>20</v>
      </c>
      <c r="T5" s="5" t="s">
        <v>21</v>
      </c>
      <c r="U5" s="5" t="s">
        <v>22</v>
      </c>
      <c r="V5" s="5" t="s">
        <v>23</v>
      </c>
      <c r="W5" s="6" t="s">
        <v>24</v>
      </c>
    </row>
    <row r="6" spans="1:24">
      <c r="A6" s="7" t="s">
        <v>151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 spans="1:24" ht="14.5">
      <c r="A7" s="17" t="s">
        <v>103</v>
      </c>
      <c r="B7" s="18">
        <v>740.02880000000005</v>
      </c>
      <c r="C7" s="18">
        <v>950.29250000000002</v>
      </c>
      <c r="H7" s="18">
        <v>1140.7629999999999</v>
      </c>
      <c r="I7" s="26">
        <f>IS!I24</f>
        <v>200.29790466897009</v>
      </c>
      <c r="J7" s="26">
        <f>IS!J24</f>
        <v>313.86751411966878</v>
      </c>
      <c r="K7" s="26">
        <f>IS!K24</f>
        <v>357.50289955245898</v>
      </c>
      <c r="L7" s="26">
        <f>IS!L24</f>
        <v>364.61533769870215</v>
      </c>
      <c r="M7" s="20">
        <f t="shared" ref="M7:M14" si="0">SUM(I7:L7)</f>
        <v>1236.2836560398</v>
      </c>
      <c r="N7" s="26">
        <f>IS!N24</f>
        <v>403.6756899784624</v>
      </c>
      <c r="O7" s="26">
        <f>IS!O24</f>
        <v>470.77531672950522</v>
      </c>
      <c r="P7" s="26">
        <f>IS!P24</f>
        <v>484.39238526955523</v>
      </c>
      <c r="Q7" s="26">
        <f>IS!Q24</f>
        <v>486.7628345708938</v>
      </c>
      <c r="R7" s="20">
        <f t="shared" ref="R7:R14" si="1">SUM(N7:Q7)</f>
        <v>1845.6062265484168</v>
      </c>
      <c r="S7" s="26">
        <f>IS!S24</f>
        <v>505.52985911320718</v>
      </c>
      <c r="T7" s="26">
        <f>IS!T24</f>
        <v>582.85292452872955</v>
      </c>
      <c r="U7" s="26">
        <f>IS!U24</f>
        <v>598.18052607522498</v>
      </c>
      <c r="V7" s="26">
        <f>IS!V24</f>
        <v>606.03959162632202</v>
      </c>
      <c r="W7" s="20">
        <f t="shared" ref="W7:W14" si="2">SUM(S7:V7)</f>
        <v>2292.6029013434836</v>
      </c>
    </row>
    <row r="8" spans="1:24" ht="14.5">
      <c r="A8" s="17" t="s">
        <v>152</v>
      </c>
      <c r="B8" s="18">
        <v>542.55719999999997</v>
      </c>
      <c r="C8" s="18">
        <v>595.86220000000003</v>
      </c>
      <c r="H8" s="18">
        <v>615.78319999999997</v>
      </c>
      <c r="I8" s="26">
        <f>Drivers!I49</f>
        <v>164.7</v>
      </c>
      <c r="J8" s="26">
        <f>Drivers!J49</f>
        <v>167.7</v>
      </c>
      <c r="K8" s="26">
        <f>Drivers!K49</f>
        <v>170.7</v>
      </c>
      <c r="L8" s="26">
        <f>Drivers!L49</f>
        <v>173.7</v>
      </c>
      <c r="M8" s="20">
        <f t="shared" si="0"/>
        <v>676.8</v>
      </c>
      <c r="N8" s="26">
        <f>Drivers!N49</f>
        <v>182.7</v>
      </c>
      <c r="O8" s="26">
        <f>Drivers!O49</f>
        <v>185.7</v>
      </c>
      <c r="P8" s="26">
        <f>Drivers!P49</f>
        <v>188.7</v>
      </c>
      <c r="Q8" s="26">
        <f>Drivers!Q49</f>
        <v>191.7</v>
      </c>
      <c r="R8" s="20">
        <f t="shared" si="1"/>
        <v>748.8</v>
      </c>
      <c r="S8" s="26">
        <f>Drivers!S49</f>
        <v>202.7</v>
      </c>
      <c r="T8" s="26">
        <f>Drivers!T49</f>
        <v>205.7</v>
      </c>
      <c r="U8" s="26">
        <f>Drivers!U49</f>
        <v>208.7</v>
      </c>
      <c r="V8" s="26">
        <f>Drivers!V49</f>
        <v>211.7</v>
      </c>
      <c r="W8" s="20">
        <f t="shared" si="2"/>
        <v>828.8</v>
      </c>
    </row>
    <row r="9" spans="1:24" ht="14.5">
      <c r="A9" s="17" t="s">
        <v>153</v>
      </c>
      <c r="B9" s="18">
        <v>85.539900000000003</v>
      </c>
      <c r="C9" s="18">
        <v>65.164299999999997</v>
      </c>
      <c r="H9" s="18">
        <v>37.8568</v>
      </c>
      <c r="M9" s="20">
        <f t="shared" si="0"/>
        <v>0</v>
      </c>
      <c r="R9" s="20">
        <f t="shared" si="1"/>
        <v>0</v>
      </c>
      <c r="W9" s="20">
        <f t="shared" si="2"/>
        <v>0</v>
      </c>
    </row>
    <row r="10" spans="1:24" ht="14.5">
      <c r="A10" s="17" t="s">
        <v>154</v>
      </c>
      <c r="I10" s="26">
        <f>-(BS!I8-BS!H8)</f>
        <v>27.856684843835865</v>
      </c>
      <c r="J10" s="26">
        <f>-(BS!J8-BS!I8)</f>
        <v>-678.66617045798739</v>
      </c>
      <c r="K10" s="26">
        <f>-(BS!K8-BS!J8)</f>
        <v>-178.50184435809979</v>
      </c>
      <c r="L10" s="26">
        <f>-(BS!L8-BS!K8)</f>
        <v>20.15788331208023</v>
      </c>
      <c r="M10" s="20">
        <f t="shared" si="0"/>
        <v>-809.15344666017108</v>
      </c>
      <c r="N10" s="26">
        <f>-(BS!N8-BS!L8)</f>
        <v>46.645304635661432</v>
      </c>
      <c r="O10" s="26">
        <f>-(BS!O8-BS!N8)</f>
        <v>-634.6542101423106</v>
      </c>
      <c r="P10" s="26">
        <f>-(BS!P8-BS!O8)</f>
        <v>-228.844473658879</v>
      </c>
      <c r="Q10" s="26">
        <f>-(BS!Q8-BS!P8)</f>
        <v>-37.219614478149197</v>
      </c>
      <c r="R10" s="20">
        <f t="shared" si="1"/>
        <v>-854.07299364367736</v>
      </c>
      <c r="S10" s="26">
        <f>-(BS!S8-BS!Q8)</f>
        <v>144.98506408519825</v>
      </c>
      <c r="T10" s="26">
        <f>-(BS!T8-BS!S8)</f>
        <v>-691.33399301493318</v>
      </c>
      <c r="U10" s="26">
        <f>-(BS!U8-BS!T8)</f>
        <v>-252.83022364789213</v>
      </c>
      <c r="V10" s="26">
        <f>-(BS!V8-BS!U8)</f>
        <v>-88.733911005944719</v>
      </c>
      <c r="W10" s="20">
        <f t="shared" si="2"/>
        <v>-887.91306358357178</v>
      </c>
    </row>
    <row r="11" spans="1:24" ht="14.5">
      <c r="A11" s="17" t="s">
        <v>155</v>
      </c>
      <c r="I11" s="26">
        <f>-(BS!I9-BS!H9)</f>
        <v>-117.67295212273962</v>
      </c>
      <c r="J11" s="26">
        <f>-(BS!J9-BS!I9)</f>
        <v>-234.11630158579146</v>
      </c>
      <c r="K11" s="26">
        <f>-(BS!K9-BS!J9)</f>
        <v>-31.333137666131279</v>
      </c>
      <c r="L11" s="26">
        <f>-(BS!L9-BS!K9)</f>
        <v>24.019605270268812</v>
      </c>
      <c r="M11" s="20">
        <f t="shared" si="0"/>
        <v>-359.10278610439354</v>
      </c>
      <c r="N11" s="26">
        <f>-(BS!N9-BS!L9)</f>
        <v>24.9562469767518</v>
      </c>
      <c r="O11" s="26">
        <f>-(BS!O9-BS!N9)</f>
        <v>-252.86831418339352</v>
      </c>
      <c r="P11" s="26">
        <f>-(BS!P9-BS!O9)</f>
        <v>-105.09854101633459</v>
      </c>
      <c r="Q11" s="26">
        <f>-(BS!Q9-BS!P9)</f>
        <v>-15.424476772482194</v>
      </c>
      <c r="R11" s="20">
        <f t="shared" si="1"/>
        <v>-348.43508499545851</v>
      </c>
      <c r="S11" s="26">
        <f>-(BS!S9-BS!Q9)</f>
        <v>46.388083178586839</v>
      </c>
      <c r="T11" s="26">
        <f>-(BS!T9-BS!S9)</f>
        <v>-278.634805681437</v>
      </c>
      <c r="U11" s="26">
        <f>-(BS!U9-BS!T9)</f>
        <v>-119.62407748251371</v>
      </c>
      <c r="V11" s="26">
        <f>-(BS!V9-BS!U9)</f>
        <v>-37.58233100452162</v>
      </c>
      <c r="W11" s="20">
        <f t="shared" si="2"/>
        <v>-389.45313098988549</v>
      </c>
    </row>
    <row r="12" spans="1:24" ht="14.5">
      <c r="A12" s="17" t="s">
        <v>156</v>
      </c>
      <c r="I12" s="26">
        <f>(BS!I21-BS!H21)</f>
        <v>101.79911697095872</v>
      </c>
      <c r="J12" s="26">
        <f>(BS!J21-BS!I21)</f>
        <v>193.40042304913209</v>
      </c>
      <c r="K12" s="26">
        <f>(BS!K21-BS!J21)</f>
        <v>25.883896332891027</v>
      </c>
      <c r="L12" s="26">
        <f>(BS!L21-BS!K21)</f>
        <v>-19.84228261456974</v>
      </c>
      <c r="M12" s="20">
        <f t="shared" si="0"/>
        <v>301.24115373841209</v>
      </c>
      <c r="N12" s="26">
        <f>(BS!N21-BS!L21)</f>
        <v>-32.407193245946701</v>
      </c>
      <c r="O12" s="26">
        <f>(BS!O21-BS!N21)</f>
        <v>207.09042971915824</v>
      </c>
      <c r="P12" s="26">
        <f>(BS!P21-BS!O21)</f>
        <v>86.07208100475691</v>
      </c>
      <c r="Q12" s="26">
        <f>(BS!Q21-BS!P21)</f>
        <v>12.632114598153294</v>
      </c>
      <c r="R12" s="20">
        <f t="shared" si="1"/>
        <v>273.38743207612174</v>
      </c>
      <c r="S12" s="26">
        <f>(BS!S21-BS!Q21)</f>
        <v>-51.868771690429639</v>
      </c>
      <c r="T12" s="26">
        <f>(BS!T21-BS!S21)</f>
        <v>226.24193623706424</v>
      </c>
      <c r="U12" s="26">
        <f>(BS!U21-BS!T21)</f>
        <v>97.130661203750606</v>
      </c>
      <c r="V12" s="26">
        <f>(BS!V21-BS!U21)</f>
        <v>30.51556790965401</v>
      </c>
      <c r="W12" s="20">
        <f t="shared" si="2"/>
        <v>302.01939366003921</v>
      </c>
    </row>
    <row r="13" spans="1:24" ht="14.5">
      <c r="A13" s="17" t="s">
        <v>157</v>
      </c>
      <c r="B13" s="19">
        <f>B14-B7-B8-B9</f>
        <v>-223.6395</v>
      </c>
      <c r="C13" s="19">
        <f>C14-C7-C8-C9</f>
        <v>-180.13279999999995</v>
      </c>
      <c r="H13" s="19">
        <f>H14-H7-H8-H9</f>
        <v>-95.403199999999828</v>
      </c>
      <c r="I13" s="19">
        <f>0</f>
        <v>0</v>
      </c>
      <c r="J13" s="19">
        <f>0</f>
        <v>0</v>
      </c>
      <c r="K13" s="19">
        <f>0</f>
        <v>0</v>
      </c>
      <c r="L13" s="19">
        <f>0</f>
        <v>0</v>
      </c>
      <c r="M13" s="20">
        <f t="shared" si="0"/>
        <v>0</v>
      </c>
      <c r="N13" s="19">
        <f>0</f>
        <v>0</v>
      </c>
      <c r="O13" s="19">
        <f>0</f>
        <v>0</v>
      </c>
      <c r="P13" s="19">
        <f>0</f>
        <v>0</v>
      </c>
      <c r="Q13" s="19">
        <f>0</f>
        <v>0</v>
      </c>
      <c r="R13" s="20">
        <f t="shared" si="1"/>
        <v>0</v>
      </c>
      <c r="S13" s="19">
        <f>0</f>
        <v>0</v>
      </c>
      <c r="T13" s="19">
        <f>0</f>
        <v>0</v>
      </c>
      <c r="U13" s="19">
        <f>0</f>
        <v>0</v>
      </c>
      <c r="V13" s="19">
        <f>0</f>
        <v>0</v>
      </c>
      <c r="W13" s="20">
        <f t="shared" si="2"/>
        <v>0</v>
      </c>
    </row>
    <row r="14" spans="1:24" ht="14.5">
      <c r="A14" s="9" t="s">
        <v>158</v>
      </c>
      <c r="B14" s="10">
        <v>1144.4864</v>
      </c>
      <c r="C14" s="10">
        <v>1431.1862000000001</v>
      </c>
      <c r="H14" s="10">
        <v>1698.9998000000001</v>
      </c>
      <c r="I14" s="11">
        <f>SUM(I7:I13)</f>
        <v>376.98075436102505</v>
      </c>
      <c r="J14" s="11">
        <f>SUM(J7:J13)</f>
        <v>-237.81453487497799</v>
      </c>
      <c r="K14" s="11">
        <f>SUM(K7:K13)</f>
        <v>344.25181386111899</v>
      </c>
      <c r="L14" s="11">
        <f>SUM(L7:L13)</f>
        <v>562.65054366648144</v>
      </c>
      <c r="M14" s="12">
        <f t="shared" si="0"/>
        <v>1046.0685770136474</v>
      </c>
      <c r="N14" s="11">
        <f>SUM(N7:N13)</f>
        <v>625.57004834492886</v>
      </c>
      <c r="O14" s="11">
        <f>SUM(O7:O13)</f>
        <v>-23.956777877040622</v>
      </c>
      <c r="P14" s="11">
        <f>SUM(P7:P13)</f>
        <v>425.2214515990986</v>
      </c>
      <c r="Q14" s="11">
        <f>SUM(Q7:Q13)</f>
        <v>638.45085791841575</v>
      </c>
      <c r="R14" s="12">
        <f t="shared" si="1"/>
        <v>1665.2855799854026</v>
      </c>
      <c r="S14" s="11">
        <f>SUM(S7:S13)</f>
        <v>847.73423468656256</v>
      </c>
      <c r="T14" s="11">
        <f>SUM(T7:T13)</f>
        <v>44.826062069423642</v>
      </c>
      <c r="U14" s="11">
        <f>SUM(U7:U13)</f>
        <v>531.55688614856967</v>
      </c>
      <c r="V14" s="11">
        <f>SUM(V7:V13)</f>
        <v>721.93891752550962</v>
      </c>
      <c r="W14" s="12">
        <f t="shared" si="2"/>
        <v>2146.0561004300653</v>
      </c>
    </row>
    <row r="15" spans="1:24">
      <c r="A15" s="7" t="s">
        <v>159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spans="1:24" ht="14.5">
      <c r="A16" s="17" t="s">
        <v>160</v>
      </c>
      <c r="B16" s="18">
        <v>-1100.8289</v>
      </c>
      <c r="C16" s="18">
        <v>-818.91409999999996</v>
      </c>
      <c r="H16" s="18">
        <v>-728.9701</v>
      </c>
      <c r="I16" s="26">
        <f>-Drivers!I50</f>
        <v>-340</v>
      </c>
      <c r="J16" s="26">
        <f>-Drivers!J50</f>
        <v>-380</v>
      </c>
      <c r="K16" s="26">
        <f>-Drivers!K50</f>
        <v>-390</v>
      </c>
      <c r="L16" s="26">
        <f>-Drivers!L50</f>
        <v>-390</v>
      </c>
      <c r="M16" s="20">
        <f>SUM(I16:L16)</f>
        <v>-1500</v>
      </c>
      <c r="N16" s="26">
        <f>-Drivers!N50</f>
        <v>-350</v>
      </c>
      <c r="O16" s="26">
        <f>-Drivers!O50</f>
        <v>-345</v>
      </c>
      <c r="P16" s="26">
        <f>-Drivers!P50</f>
        <v>-340</v>
      </c>
      <c r="Q16" s="26">
        <f>-Drivers!Q50</f>
        <v>-325</v>
      </c>
      <c r="R16" s="20">
        <f>SUM(N16:Q16)</f>
        <v>-1360</v>
      </c>
      <c r="S16" s="26">
        <f>-Drivers!S50</f>
        <v>-310</v>
      </c>
      <c r="T16" s="26">
        <f>-Drivers!T50</f>
        <v>-305</v>
      </c>
      <c r="U16" s="26">
        <f>-Drivers!U50</f>
        <v>-300</v>
      </c>
      <c r="V16" s="26">
        <f>-Drivers!V50</f>
        <v>-285</v>
      </c>
      <c r="W16" s="20">
        <f>SUM(S16:V16)</f>
        <v>-1200</v>
      </c>
    </row>
    <row r="17" spans="1:24" ht="14.5">
      <c r="A17" s="17" t="s">
        <v>161</v>
      </c>
      <c r="B17" s="18">
        <v>-73.952699999999993</v>
      </c>
      <c r="C17" s="18">
        <v>-46.401400000000002</v>
      </c>
      <c r="H17" s="18">
        <v>6.4142000000000001</v>
      </c>
      <c r="I17" s="19">
        <f>0</f>
        <v>0</v>
      </c>
      <c r="J17" s="19">
        <f>0</f>
        <v>0</v>
      </c>
      <c r="K17" s="19">
        <f>0</f>
        <v>0</v>
      </c>
      <c r="L17" s="19">
        <f>0</f>
        <v>0</v>
      </c>
      <c r="M17" s="20">
        <f>SUM(I17:L17)</f>
        <v>0</v>
      </c>
      <c r="N17" s="19">
        <f>0</f>
        <v>0</v>
      </c>
      <c r="O17" s="19">
        <f>0</f>
        <v>0</v>
      </c>
      <c r="P17" s="19">
        <f>0</f>
        <v>0</v>
      </c>
      <c r="Q17" s="19">
        <f>0</f>
        <v>0</v>
      </c>
      <c r="R17" s="20">
        <f>SUM(N17:Q17)</f>
        <v>0</v>
      </c>
      <c r="S17" s="19">
        <f>0</f>
        <v>0</v>
      </c>
      <c r="T17" s="19">
        <f>0</f>
        <v>0</v>
      </c>
      <c r="U17" s="19">
        <f>0</f>
        <v>0</v>
      </c>
      <c r="V17" s="19">
        <f>0</f>
        <v>0</v>
      </c>
      <c r="W17" s="20">
        <f>SUM(S17:V17)</f>
        <v>0</v>
      </c>
    </row>
    <row r="18" spans="1:24" ht="14.5">
      <c r="A18" s="9" t="s">
        <v>162</v>
      </c>
      <c r="B18" s="11">
        <f>B16+B17</f>
        <v>-1174.7816</v>
      </c>
      <c r="C18" s="11">
        <f>C16+C17</f>
        <v>-865.31549999999993</v>
      </c>
      <c r="H18" s="11">
        <f>H16+H17</f>
        <v>-722.55589999999995</v>
      </c>
      <c r="I18" s="11">
        <f>I16+I17</f>
        <v>-340</v>
      </c>
      <c r="J18" s="11">
        <f>J16+J17</f>
        <v>-380</v>
      </c>
      <c r="K18" s="11">
        <f>K16+K17</f>
        <v>-390</v>
      </c>
      <c r="L18" s="11">
        <f>L16+L17</f>
        <v>-390</v>
      </c>
      <c r="M18" s="12">
        <f>SUM(I18:L18)</f>
        <v>-1500</v>
      </c>
      <c r="N18" s="11">
        <f>N16+N17</f>
        <v>-350</v>
      </c>
      <c r="O18" s="11">
        <f>O16+O17</f>
        <v>-345</v>
      </c>
      <c r="P18" s="11">
        <f>P16+P17</f>
        <v>-340</v>
      </c>
      <c r="Q18" s="11">
        <f>Q16+Q17</f>
        <v>-325</v>
      </c>
      <c r="R18" s="12">
        <f>SUM(N18:Q18)</f>
        <v>-1360</v>
      </c>
      <c r="S18" s="11">
        <f>S16+S17</f>
        <v>-310</v>
      </c>
      <c r="T18" s="11">
        <f>T16+T17</f>
        <v>-305</v>
      </c>
      <c r="U18" s="11">
        <f>U16+U17</f>
        <v>-300</v>
      </c>
      <c r="V18" s="11">
        <f>V16+V17</f>
        <v>-285</v>
      </c>
      <c r="W18" s="12">
        <f>SUM(S18:V18)</f>
        <v>-1200</v>
      </c>
    </row>
    <row r="19" spans="1:24">
      <c r="A19" s="7" t="s">
        <v>163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spans="1:24" ht="14.5">
      <c r="A20" s="17" t="s">
        <v>164</v>
      </c>
      <c r="B20" s="18">
        <v>60.235500000000002</v>
      </c>
      <c r="C20" s="18">
        <v>85.266900000000007</v>
      </c>
      <c r="H20" s="18">
        <v>27.66235</v>
      </c>
      <c r="I20" s="19">
        <f>0</f>
        <v>0</v>
      </c>
      <c r="J20" s="19">
        <f>0</f>
        <v>0</v>
      </c>
      <c r="K20" s="19">
        <f>0</f>
        <v>0</v>
      </c>
      <c r="L20" s="19">
        <f>0</f>
        <v>0</v>
      </c>
      <c r="M20" s="20">
        <f t="shared" ref="M20:M26" si="3">SUM(I20:L20)</f>
        <v>0</v>
      </c>
      <c r="N20" s="19">
        <f>0</f>
        <v>0</v>
      </c>
      <c r="O20" s="19">
        <f>0</f>
        <v>0</v>
      </c>
      <c r="P20" s="19">
        <f>0</f>
        <v>0</v>
      </c>
      <c r="Q20" s="19">
        <f>0</f>
        <v>0</v>
      </c>
      <c r="R20" s="20">
        <f t="shared" ref="R20:R26" si="4">SUM(N20:Q20)</f>
        <v>0</v>
      </c>
      <c r="S20" s="19">
        <f>0</f>
        <v>0</v>
      </c>
      <c r="T20" s="19">
        <f>0</f>
        <v>0</v>
      </c>
      <c r="U20" s="19">
        <f>0</f>
        <v>0</v>
      </c>
      <c r="V20" s="19">
        <f>0</f>
        <v>0</v>
      </c>
      <c r="W20" s="20">
        <f t="shared" ref="W20:W26" si="5">SUM(S20:V20)</f>
        <v>0</v>
      </c>
    </row>
    <row r="21" spans="1:24" ht="14.5">
      <c r="A21" s="17" t="s">
        <v>165</v>
      </c>
      <c r="B21" s="18">
        <v>741.11199999999997</v>
      </c>
      <c r="C21" s="18">
        <v>-480.3272</v>
      </c>
      <c r="H21" s="18">
        <v>-147.39009999999999</v>
      </c>
      <c r="I21" s="26">
        <f>Drivers!I56</f>
        <v>300</v>
      </c>
      <c r="J21" s="26">
        <f>Drivers!J56</f>
        <v>350</v>
      </c>
      <c r="K21" s="26">
        <f>Drivers!K56</f>
        <v>350</v>
      </c>
      <c r="L21" s="26">
        <f>Drivers!L56</f>
        <v>100</v>
      </c>
      <c r="M21" s="20">
        <f t="shared" si="3"/>
        <v>1100</v>
      </c>
      <c r="N21" s="26">
        <f>Drivers!N56</f>
        <v>200</v>
      </c>
      <c r="O21" s="26">
        <f>Drivers!O56</f>
        <v>200</v>
      </c>
      <c r="P21" s="26">
        <f>Drivers!P56</f>
        <v>200</v>
      </c>
      <c r="Q21" s="26">
        <f>Drivers!Q56</f>
        <v>200</v>
      </c>
      <c r="R21" s="20">
        <f t="shared" si="4"/>
        <v>800</v>
      </c>
      <c r="S21" s="26">
        <f>Drivers!S56</f>
        <v>150</v>
      </c>
      <c r="T21" s="26">
        <f>Drivers!T56</f>
        <v>150</v>
      </c>
      <c r="U21" s="26">
        <f>Drivers!U56</f>
        <v>150</v>
      </c>
      <c r="V21" s="26">
        <f>Drivers!V56</f>
        <v>150</v>
      </c>
      <c r="W21" s="20">
        <f t="shared" si="5"/>
        <v>600</v>
      </c>
    </row>
    <row r="22" spans="1:24" ht="14.5">
      <c r="A22" s="17" t="s">
        <v>166</v>
      </c>
      <c r="B22" s="18">
        <v>-293.4622</v>
      </c>
      <c r="C22" s="18">
        <v>-390.74689999999998</v>
      </c>
      <c r="H22" s="18">
        <v>-627.07309999999995</v>
      </c>
      <c r="M22" s="20">
        <f t="shared" si="3"/>
        <v>0</v>
      </c>
      <c r="R22" s="20">
        <f t="shared" si="4"/>
        <v>0</v>
      </c>
      <c r="W22" s="20">
        <f t="shared" si="5"/>
        <v>0</v>
      </c>
    </row>
    <row r="23" spans="1:24" ht="14.5">
      <c r="A23" s="17" t="s">
        <v>167</v>
      </c>
      <c r="I23" s="19">
        <f>0</f>
        <v>0</v>
      </c>
      <c r="J23" s="19">
        <f>0</f>
        <v>0</v>
      </c>
      <c r="K23" s="26">
        <f>-Drivers!H62*Drivers!H61</f>
        <v>-645.05472000000009</v>
      </c>
      <c r="L23" s="19">
        <f>0</f>
        <v>0</v>
      </c>
      <c r="M23" s="20">
        <f t="shared" si="3"/>
        <v>-645.05472000000009</v>
      </c>
      <c r="N23" s="19">
        <f>0</f>
        <v>0</v>
      </c>
      <c r="O23" s="19">
        <f>0</f>
        <v>0</v>
      </c>
      <c r="P23" s="26">
        <f>-Drivers!M62*Drivers!M61</f>
        <v>-663.28342957936559</v>
      </c>
      <c r="Q23" s="19">
        <f>0</f>
        <v>0</v>
      </c>
      <c r="R23" s="20">
        <f t="shared" si="4"/>
        <v>-663.28342957936559</v>
      </c>
      <c r="S23" s="19">
        <f>0</f>
        <v>0</v>
      </c>
      <c r="T23" s="19">
        <f>0</f>
        <v>0</v>
      </c>
      <c r="U23" s="26">
        <f>-Drivers!R62*Drivers!R61</f>
        <v>-991.09054365649956</v>
      </c>
      <c r="V23" s="19">
        <f>0</f>
        <v>0</v>
      </c>
      <c r="W23" s="20">
        <f t="shared" si="5"/>
        <v>-991.09054365649956</v>
      </c>
    </row>
    <row r="24" spans="1:24" ht="14.5">
      <c r="A24" s="17" t="s">
        <v>168</v>
      </c>
      <c r="I24" s="19">
        <f>0</f>
        <v>0</v>
      </c>
      <c r="J24" s="19">
        <f>0</f>
        <v>0</v>
      </c>
      <c r="K24" s="21">
        <v>-55</v>
      </c>
      <c r="L24" s="19">
        <f>0</f>
        <v>0</v>
      </c>
      <c r="M24" s="20">
        <f t="shared" si="3"/>
        <v>-55</v>
      </c>
      <c r="N24" s="19">
        <f>0</f>
        <v>0</v>
      </c>
      <c r="O24" s="19">
        <f>0</f>
        <v>0</v>
      </c>
      <c r="P24" s="21">
        <v>-55</v>
      </c>
      <c r="Q24" s="19">
        <f>0</f>
        <v>0</v>
      </c>
      <c r="R24" s="20">
        <f t="shared" si="4"/>
        <v>-55</v>
      </c>
      <c r="S24" s="19">
        <f>0</f>
        <v>0</v>
      </c>
      <c r="T24" s="19">
        <f>0</f>
        <v>0</v>
      </c>
      <c r="U24" s="21">
        <v>-55</v>
      </c>
      <c r="V24" s="19">
        <f>0</f>
        <v>0</v>
      </c>
      <c r="W24" s="20">
        <f t="shared" si="5"/>
        <v>-55</v>
      </c>
    </row>
    <row r="25" spans="1:24" ht="14.5">
      <c r="A25" s="17" t="s">
        <v>169</v>
      </c>
      <c r="B25" s="18">
        <v>-161.59870000000001</v>
      </c>
      <c r="C25" s="18">
        <v>-256.91269999999997</v>
      </c>
      <c r="H25" s="18">
        <v>-172.74770000000001</v>
      </c>
      <c r="I25" s="19">
        <f>0</f>
        <v>0</v>
      </c>
      <c r="J25" s="19">
        <f>0</f>
        <v>0</v>
      </c>
      <c r="K25" s="19">
        <f>0</f>
        <v>0</v>
      </c>
      <c r="L25" s="19">
        <f>0</f>
        <v>0</v>
      </c>
      <c r="M25" s="20">
        <f t="shared" si="3"/>
        <v>0</v>
      </c>
      <c r="N25" s="19">
        <f>0</f>
        <v>0</v>
      </c>
      <c r="O25" s="19">
        <f>0</f>
        <v>0</v>
      </c>
      <c r="P25" s="19">
        <f>0</f>
        <v>0</v>
      </c>
      <c r="Q25" s="19">
        <f>0</f>
        <v>0</v>
      </c>
      <c r="R25" s="20">
        <f t="shared" si="4"/>
        <v>0</v>
      </c>
      <c r="S25" s="19">
        <f>0</f>
        <v>0</v>
      </c>
      <c r="T25" s="19">
        <f>0</f>
        <v>0</v>
      </c>
      <c r="U25" s="19">
        <f>0</f>
        <v>0</v>
      </c>
      <c r="V25" s="19">
        <f>0</f>
        <v>0</v>
      </c>
      <c r="W25" s="20">
        <f t="shared" si="5"/>
        <v>0</v>
      </c>
    </row>
    <row r="26" spans="1:24" ht="14.5">
      <c r="A26" s="9" t="s">
        <v>170</v>
      </c>
      <c r="B26" s="11">
        <f>SUM(B20:B25)</f>
        <v>346.28659999999996</v>
      </c>
      <c r="C26" s="11">
        <f>SUM(C20:C25)</f>
        <v>-1042.7199000000001</v>
      </c>
      <c r="H26" s="11">
        <f>SUM(H20:H25)</f>
        <v>-919.54854999999998</v>
      </c>
      <c r="I26" s="11">
        <f>SUM(I20:I25)</f>
        <v>300</v>
      </c>
      <c r="J26" s="11">
        <f>SUM(J20:J25)</f>
        <v>350</v>
      </c>
      <c r="K26" s="11">
        <f>SUM(K20:K25)</f>
        <v>-350.05472000000009</v>
      </c>
      <c r="L26" s="11">
        <f>SUM(L20:L25)</f>
        <v>100</v>
      </c>
      <c r="M26" s="12">
        <f t="shared" si="3"/>
        <v>399.94527999999991</v>
      </c>
      <c r="N26" s="11">
        <f>SUM(N20:N25)</f>
        <v>200</v>
      </c>
      <c r="O26" s="11">
        <f>SUM(O20:O25)</f>
        <v>200</v>
      </c>
      <c r="P26" s="11">
        <f>SUM(P20:P25)</f>
        <v>-518.28342957936559</v>
      </c>
      <c r="Q26" s="11">
        <f>SUM(Q20:Q25)</f>
        <v>200</v>
      </c>
      <c r="R26" s="12">
        <f t="shared" si="4"/>
        <v>81.716570420634412</v>
      </c>
      <c r="S26" s="11">
        <f>SUM(S20:S25)</f>
        <v>150</v>
      </c>
      <c r="T26" s="11">
        <f>SUM(T20:T25)</f>
        <v>150</v>
      </c>
      <c r="U26" s="11">
        <f>SUM(U20:U25)</f>
        <v>-896.09054365649956</v>
      </c>
      <c r="V26" s="11">
        <f>SUM(V20:V25)</f>
        <v>150</v>
      </c>
      <c r="W26" s="12">
        <f t="shared" si="5"/>
        <v>-446.09054365649956</v>
      </c>
    </row>
    <row r="27" spans="1:24">
      <c r="A27" s="7" t="s">
        <v>171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 spans="1:24" ht="14.5">
      <c r="A28" s="17" t="s">
        <v>172</v>
      </c>
      <c r="B28" s="18">
        <v>3.7134999999999998</v>
      </c>
      <c r="C28" s="18">
        <v>6.1894999999999998</v>
      </c>
      <c r="H28" s="18">
        <v>3.8420999999999998</v>
      </c>
      <c r="I28" s="19">
        <f>0</f>
        <v>0</v>
      </c>
      <c r="J28" s="19">
        <f>0</f>
        <v>0</v>
      </c>
      <c r="K28" s="19">
        <f>0</f>
        <v>0</v>
      </c>
      <c r="L28" s="19">
        <f>0</f>
        <v>0</v>
      </c>
      <c r="M28" s="20">
        <f>SUM(I28:L28)</f>
        <v>0</v>
      </c>
      <c r="N28" s="19">
        <f>0</f>
        <v>0</v>
      </c>
      <c r="O28" s="19">
        <f>0</f>
        <v>0</v>
      </c>
      <c r="P28" s="19">
        <f>0</f>
        <v>0</v>
      </c>
      <c r="Q28" s="19">
        <f>0</f>
        <v>0</v>
      </c>
      <c r="R28" s="20">
        <f>SUM(N28:Q28)</f>
        <v>0</v>
      </c>
      <c r="S28" s="19">
        <f>0</f>
        <v>0</v>
      </c>
      <c r="T28" s="19">
        <f>0</f>
        <v>0</v>
      </c>
      <c r="U28" s="19">
        <f>0</f>
        <v>0</v>
      </c>
      <c r="V28" s="19">
        <f>0</f>
        <v>0</v>
      </c>
      <c r="W28" s="20">
        <f>SUM(S28:V28)</f>
        <v>0</v>
      </c>
    </row>
    <row r="29" spans="1:24" ht="14.5">
      <c r="A29" s="9" t="s">
        <v>173</v>
      </c>
      <c r="B29" s="11">
        <f>B14+B18+B26+B28</f>
        <v>319.70489999999995</v>
      </c>
      <c r="C29" s="11">
        <f>C14+C18+C26+C28</f>
        <v>-470.65969999999987</v>
      </c>
      <c r="H29" s="11">
        <f>H14+H18+H26+H28</f>
        <v>60.737450000000123</v>
      </c>
      <c r="I29" s="11">
        <f>I14+I18+I26+I28</f>
        <v>336.98075436102505</v>
      </c>
      <c r="J29" s="11">
        <f>J14+J18+J26+J28</f>
        <v>-267.81453487497799</v>
      </c>
      <c r="K29" s="11">
        <f>K14+K18+K26+K28</f>
        <v>-395.8029061388811</v>
      </c>
      <c r="L29" s="11">
        <f>L14+L18+L26+L28</f>
        <v>272.65054366648144</v>
      </c>
      <c r="M29" s="12">
        <f>SUM(I29:L29)</f>
        <v>-53.986142986352604</v>
      </c>
      <c r="N29" s="11">
        <f>N14+N18+N26+N28</f>
        <v>475.57004834492886</v>
      </c>
      <c r="O29" s="11">
        <f>O14+O18+O26+O28</f>
        <v>-168.95677787704062</v>
      </c>
      <c r="P29" s="11">
        <f>P14+P18+P26+P28</f>
        <v>-433.06197798026699</v>
      </c>
      <c r="Q29" s="11">
        <f>Q14+Q18+Q26+Q28</f>
        <v>513.45085791841575</v>
      </c>
      <c r="R29" s="12">
        <f>SUM(N29:Q29)</f>
        <v>387.002150406037</v>
      </c>
      <c r="S29" s="11">
        <f>S14+S18+S26+S28</f>
        <v>687.73423468656256</v>
      </c>
      <c r="T29" s="11">
        <f>T14+T18+T26+T28</f>
        <v>-110.17393793057636</v>
      </c>
      <c r="U29" s="11">
        <f>U14+U18+U26+U28</f>
        <v>-664.53365750792989</v>
      </c>
      <c r="V29" s="11">
        <f>V14+V18+V26+V28</f>
        <v>586.93891752550962</v>
      </c>
      <c r="W29" s="12">
        <f>SUM(S29:V29)</f>
        <v>499.96555677356594</v>
      </c>
    </row>
    <row r="30" spans="1:24" ht="14.5">
      <c r="A30" s="17" t="s">
        <v>174</v>
      </c>
      <c r="B30" s="18">
        <v>440.18939999999998</v>
      </c>
      <c r="C30" s="18">
        <v>759.89440000000002</v>
      </c>
      <c r="H30" s="18">
        <v>289.23480000000001</v>
      </c>
      <c r="I30" s="19">
        <f>H31</f>
        <v>349.97230000000002</v>
      </c>
      <c r="J30" s="19">
        <f>I31</f>
        <v>686.95305436102512</v>
      </c>
      <c r="K30" s="19">
        <f>J31</f>
        <v>419.13851948604713</v>
      </c>
      <c r="L30" s="19">
        <f>K31</f>
        <v>23.335613347166031</v>
      </c>
      <c r="M30" s="20">
        <f>I30</f>
        <v>349.97230000000002</v>
      </c>
      <c r="N30" s="19">
        <f>L31</f>
        <v>295.98615701364747</v>
      </c>
      <c r="O30" s="19">
        <f>N31</f>
        <v>771.55620535857634</v>
      </c>
      <c r="P30" s="19">
        <f>O31</f>
        <v>602.59942748153571</v>
      </c>
      <c r="Q30" s="19">
        <f>P31</f>
        <v>169.53744950126872</v>
      </c>
      <c r="R30" s="20">
        <f>N30</f>
        <v>295.98615701364747</v>
      </c>
      <c r="S30" s="19">
        <f>Q31</f>
        <v>682.98830741968447</v>
      </c>
      <c r="T30" s="19">
        <f>S31</f>
        <v>1370.7225421062471</v>
      </c>
      <c r="U30" s="19">
        <f>T31</f>
        <v>1260.5486041756708</v>
      </c>
      <c r="V30" s="19">
        <f>U31</f>
        <v>596.0149466677409</v>
      </c>
      <c r="W30" s="20">
        <f>S30</f>
        <v>682.98830741968447</v>
      </c>
    </row>
    <row r="31" spans="1:24" ht="14.5">
      <c r="A31" s="9" t="s">
        <v>175</v>
      </c>
      <c r="B31" s="10">
        <v>759.89440000000002</v>
      </c>
      <c r="C31" s="10">
        <v>289.23480000000001</v>
      </c>
      <c r="H31" s="10">
        <v>349.97230000000002</v>
      </c>
      <c r="I31" s="11">
        <f>I30+I29</f>
        <v>686.95305436102512</v>
      </c>
      <c r="J31" s="11">
        <f>J30+J29</f>
        <v>419.13851948604713</v>
      </c>
      <c r="K31" s="11">
        <f>K30+K29</f>
        <v>23.335613347166031</v>
      </c>
      <c r="L31" s="11">
        <f>L30+L29</f>
        <v>295.98615701364747</v>
      </c>
      <c r="M31" s="12">
        <f>L31</f>
        <v>295.98615701364747</v>
      </c>
      <c r="N31" s="11">
        <f>N30+N29</f>
        <v>771.55620535857634</v>
      </c>
      <c r="O31" s="11">
        <f>O30+O29</f>
        <v>602.59942748153571</v>
      </c>
      <c r="P31" s="11">
        <f>P30+P29</f>
        <v>169.53744950126872</v>
      </c>
      <c r="Q31" s="11">
        <f>Q30+Q29</f>
        <v>682.98830741968447</v>
      </c>
      <c r="R31" s="12">
        <f>Q31</f>
        <v>682.98830741968447</v>
      </c>
      <c r="S31" s="11">
        <f>S30+S29</f>
        <v>1370.7225421062471</v>
      </c>
      <c r="T31" s="11">
        <f>T30+T29</f>
        <v>1260.5486041756708</v>
      </c>
      <c r="U31" s="11">
        <f>U30+U29</f>
        <v>596.0149466677409</v>
      </c>
      <c r="V31" s="11">
        <f>V30+V29</f>
        <v>1182.9538641932504</v>
      </c>
      <c r="W31" s="12">
        <f>V31</f>
        <v>1182.9538641932504</v>
      </c>
    </row>
    <row r="33" spans="1:23" ht="14.5">
      <c r="A33" s="9" t="s">
        <v>176</v>
      </c>
      <c r="B33" s="11">
        <f>B14+B16</f>
        <v>43.657500000000027</v>
      </c>
      <c r="C33" s="11">
        <f>C14+C16</f>
        <v>612.27210000000014</v>
      </c>
      <c r="H33" s="11">
        <f>H14+H16</f>
        <v>970.02970000000005</v>
      </c>
      <c r="I33" s="11">
        <f>I14+I16</f>
        <v>36.980754361025049</v>
      </c>
      <c r="J33" s="11">
        <f>J14+J16</f>
        <v>-617.81453487497799</v>
      </c>
      <c r="K33" s="11">
        <f>K14+K16</f>
        <v>-45.74818613888101</v>
      </c>
      <c r="L33" s="11">
        <f>L14+L16</f>
        <v>172.65054366648144</v>
      </c>
      <c r="M33" s="12">
        <f>SUM(I33:L33)</f>
        <v>-453.93142298635246</v>
      </c>
      <c r="N33" s="11">
        <f>N14+N16</f>
        <v>275.57004834492886</v>
      </c>
      <c r="O33" s="11">
        <f>O14+O16</f>
        <v>-368.95677787704062</v>
      </c>
      <c r="P33" s="11">
        <f>P14+P16</f>
        <v>85.2214515990986</v>
      </c>
      <c r="Q33" s="11">
        <f>Q14+Q16</f>
        <v>313.45085791841575</v>
      </c>
      <c r="R33" s="12">
        <f>SUM(N33:Q33)</f>
        <v>305.28557998540259</v>
      </c>
      <c r="S33" s="11">
        <f>S14+S16</f>
        <v>537.73423468656256</v>
      </c>
      <c r="T33" s="11">
        <f>T14+T16</f>
        <v>-260.17393793057636</v>
      </c>
      <c r="U33" s="11">
        <f>U14+U16</f>
        <v>231.55688614856967</v>
      </c>
      <c r="V33" s="11">
        <f>V14+V16</f>
        <v>436.93891752550962</v>
      </c>
      <c r="W33" s="12">
        <f>SUM(S33:V33)</f>
        <v>946.0561004300655</v>
      </c>
    </row>
  </sheetData>
  <phoneticPr fontId="3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3864"/>
  </sheetPr>
  <dimension ref="B1:H28"/>
  <sheetViews>
    <sheetView showGridLines="0" workbookViewId="0">
      <selection activeCell="B2" sqref="B2"/>
    </sheetView>
  </sheetViews>
  <sheetFormatPr defaultRowHeight="14"/>
  <cols>
    <col min="1" max="1" width="8.7265625" style="75"/>
    <col min="2" max="2" width="30" style="75" customWidth="1"/>
    <col min="3" max="6" width="13" style="75" customWidth="1"/>
    <col min="7" max="7" width="52" style="75" customWidth="1"/>
    <col min="8" max="16384" width="8.7265625" style="75"/>
  </cols>
  <sheetData>
    <row r="1" spans="2:8" ht="14.5" thickBot="1"/>
    <row r="2" spans="2:8" ht="15">
      <c r="B2" s="107" t="s">
        <v>177</v>
      </c>
      <c r="C2" s="76"/>
      <c r="D2" s="76"/>
      <c r="E2" s="76"/>
      <c r="F2" s="76"/>
      <c r="G2" s="76"/>
      <c r="H2" s="77"/>
    </row>
    <row r="3" spans="2:8">
      <c r="B3" s="78" t="s">
        <v>178</v>
      </c>
      <c r="C3" s="79"/>
      <c r="D3" s="79"/>
      <c r="E3" s="79"/>
      <c r="F3" s="79"/>
      <c r="G3" s="79"/>
      <c r="H3" s="80"/>
    </row>
    <row r="4" spans="2:8">
      <c r="B4" s="81"/>
      <c r="C4" s="79"/>
      <c r="D4" s="79"/>
      <c r="E4" s="79"/>
      <c r="F4" s="79"/>
      <c r="G4" s="79"/>
      <c r="H4" s="80"/>
    </row>
    <row r="5" spans="2:8" ht="14.5">
      <c r="B5" s="81"/>
      <c r="C5" s="101" t="s">
        <v>179</v>
      </c>
      <c r="D5" s="101" t="s">
        <v>180</v>
      </c>
      <c r="E5" s="101" t="s">
        <v>181</v>
      </c>
      <c r="F5" s="101" t="s">
        <v>182</v>
      </c>
      <c r="G5" s="79"/>
      <c r="H5" s="80"/>
    </row>
    <row r="6" spans="2:8" ht="14.5">
      <c r="B6" s="82" t="s">
        <v>183</v>
      </c>
      <c r="C6" s="102">
        <v>0.25</v>
      </c>
      <c r="D6" s="102">
        <v>0.55000000000000004</v>
      </c>
      <c r="E6" s="102">
        <v>0.2</v>
      </c>
      <c r="F6" s="83">
        <f>SUM(C6:E6)</f>
        <v>1</v>
      </c>
      <c r="G6" s="84" t="s">
        <v>184</v>
      </c>
      <c r="H6" s="80"/>
    </row>
    <row r="7" spans="2:8">
      <c r="B7" s="81"/>
      <c r="C7" s="79"/>
      <c r="D7" s="79"/>
      <c r="E7" s="79"/>
      <c r="F7" s="79"/>
      <c r="G7" s="79"/>
      <c r="H7" s="80"/>
    </row>
    <row r="8" spans="2:8" ht="14.5">
      <c r="B8" s="82" t="s">
        <v>185</v>
      </c>
      <c r="C8" s="104">
        <v>35</v>
      </c>
      <c r="D8" s="104">
        <v>30</v>
      </c>
      <c r="E8" s="104">
        <v>24</v>
      </c>
      <c r="F8" s="79"/>
      <c r="G8" s="84" t="s">
        <v>186</v>
      </c>
      <c r="H8" s="80"/>
    </row>
    <row r="9" spans="2:8" ht="14.5">
      <c r="B9" s="85" t="s">
        <v>187</v>
      </c>
      <c r="C9" s="103">
        <v>1.25</v>
      </c>
      <c r="D9" s="103">
        <v>1</v>
      </c>
      <c r="E9" s="103">
        <v>0.7</v>
      </c>
      <c r="F9" s="79"/>
      <c r="G9" s="84" t="s">
        <v>188</v>
      </c>
      <c r="H9" s="80"/>
    </row>
    <row r="10" spans="2:8" ht="14.5">
      <c r="B10" s="86" t="s">
        <v>189</v>
      </c>
      <c r="C10" s="87">
        <f>$D$10*C9</f>
        <v>2064.7719659510412</v>
      </c>
      <c r="D10" s="88">
        <f>IS!R26</f>
        <v>1651.8175727608329</v>
      </c>
      <c r="E10" s="87">
        <f>$D$10*E9</f>
        <v>1156.272300932583</v>
      </c>
      <c r="F10" s="79"/>
      <c r="G10" s="84" t="s">
        <v>190</v>
      </c>
      <c r="H10" s="80"/>
    </row>
    <row r="11" spans="2:8">
      <c r="B11" s="81"/>
      <c r="C11" s="79"/>
      <c r="D11" s="79"/>
      <c r="E11" s="79"/>
      <c r="F11" s="79"/>
      <c r="G11" s="79"/>
      <c r="H11" s="80"/>
    </row>
    <row r="12" spans="2:8" ht="14.5">
      <c r="B12" s="86" t="s">
        <v>191</v>
      </c>
      <c r="C12" s="89">
        <f>C8*C10</f>
        <v>72267.018808286448</v>
      </c>
      <c r="D12" s="89">
        <f>D8*D10</f>
        <v>49554.52718282499</v>
      </c>
      <c r="E12" s="89">
        <f>E8*E10</f>
        <v>27750.535222381994</v>
      </c>
      <c r="F12" s="79"/>
      <c r="G12" s="79"/>
      <c r="H12" s="80"/>
    </row>
    <row r="13" spans="2:8" ht="14.5">
      <c r="B13" s="85" t="s">
        <v>192</v>
      </c>
      <c r="C13" s="90">
        <f>IS!W36</f>
        <v>806.3184</v>
      </c>
      <c r="D13" s="90">
        <f>IS!W36</f>
        <v>806.3184</v>
      </c>
      <c r="E13" s="90">
        <f>IS!W36</f>
        <v>806.3184</v>
      </c>
      <c r="F13" s="79"/>
      <c r="G13" s="79"/>
      <c r="H13" s="80"/>
    </row>
    <row r="14" spans="2:8">
      <c r="B14" s="81"/>
      <c r="C14" s="79"/>
      <c r="D14" s="79"/>
      <c r="E14" s="79"/>
      <c r="F14" s="79"/>
      <c r="G14" s="79"/>
      <c r="H14" s="80"/>
    </row>
    <row r="15" spans="2:8" ht="14.5">
      <c r="B15" s="86" t="s">
        <v>193</v>
      </c>
      <c r="C15" s="91">
        <f>C12/C13</f>
        <v>89.625908088276844</v>
      </c>
      <c r="D15" s="91">
        <f>D12/D13</f>
        <v>61.457765546246982</v>
      </c>
      <c r="E15" s="91">
        <f>E12/E13</f>
        <v>34.416348705898308</v>
      </c>
      <c r="F15" s="79"/>
      <c r="G15" s="79"/>
      <c r="H15" s="80"/>
    </row>
    <row r="16" spans="2:8">
      <c r="B16" s="81"/>
      <c r="C16" s="79"/>
      <c r="D16" s="79"/>
      <c r="E16" s="79"/>
      <c r="F16" s="79"/>
      <c r="G16" s="79"/>
      <c r="H16" s="80"/>
    </row>
    <row r="17" spans="2:8" ht="14.5">
      <c r="B17" s="86" t="s">
        <v>194</v>
      </c>
      <c r="C17" s="79"/>
      <c r="D17" s="79"/>
      <c r="E17" s="79"/>
      <c r="F17" s="91">
        <f>SUMPRODUCT(C6:E6,C15:E15)</f>
        <v>63.091517813684717</v>
      </c>
      <c r="G17" s="79"/>
      <c r="H17" s="80"/>
    </row>
    <row r="18" spans="2:8">
      <c r="B18" s="81"/>
      <c r="C18" s="79"/>
      <c r="D18" s="79"/>
      <c r="E18" s="79"/>
      <c r="F18" s="79"/>
      <c r="G18" s="79"/>
      <c r="H18" s="80"/>
    </row>
    <row r="19" spans="2:8" ht="14.5">
      <c r="B19" s="82" t="s">
        <v>195</v>
      </c>
      <c r="C19" s="79"/>
      <c r="D19" s="79"/>
      <c r="E19" s="79"/>
      <c r="F19" s="92">
        <f>Drivers!H64</f>
        <v>55.83</v>
      </c>
      <c r="G19" s="79"/>
      <c r="H19" s="80"/>
    </row>
    <row r="20" spans="2:8" ht="14.5">
      <c r="B20" s="86" t="s">
        <v>196</v>
      </c>
      <c r="C20" s="79"/>
      <c r="D20" s="79"/>
      <c r="E20" s="79"/>
      <c r="F20" s="93">
        <f>F17/F19-1</f>
        <v>0.13006480053169844</v>
      </c>
      <c r="G20" s="79"/>
      <c r="H20" s="80"/>
    </row>
    <row r="21" spans="2:8">
      <c r="B21" s="81"/>
      <c r="C21" s="79"/>
      <c r="D21" s="79"/>
      <c r="E21" s="79"/>
      <c r="F21" s="79"/>
      <c r="G21" s="79"/>
      <c r="H21" s="80"/>
    </row>
    <row r="22" spans="2:8" ht="14.5">
      <c r="B22" s="105" t="s">
        <v>197</v>
      </c>
      <c r="C22" s="106">
        <f>C15/$F$19-1</f>
        <v>0.60533598581903725</v>
      </c>
      <c r="D22" s="106">
        <f>D15/$F$19-1</f>
        <v>0.10080181884733985</v>
      </c>
      <c r="E22" s="106">
        <f>E15/$F$19-1</f>
        <v>-0.38355098144548971</v>
      </c>
      <c r="F22" s="79"/>
      <c r="G22" s="79"/>
      <c r="H22" s="80"/>
    </row>
    <row r="23" spans="2:8">
      <c r="B23" s="81"/>
      <c r="C23" s="79"/>
      <c r="D23" s="79"/>
      <c r="E23" s="79"/>
      <c r="F23" s="79"/>
      <c r="G23" s="79"/>
      <c r="H23" s="80"/>
    </row>
    <row r="24" spans="2:8">
      <c r="B24" s="94" t="s">
        <v>198</v>
      </c>
      <c r="C24" s="95">
        <f>(C12+BS!R34)/IS!R34</f>
        <v>26.016349938563152</v>
      </c>
      <c r="D24" s="95">
        <f>(D12+BS!R34)/IS!R34</f>
        <v>18.303930959458164</v>
      </c>
      <c r="E24" s="95">
        <f>(E12+BS!R34)/IS!R34</f>
        <v>10.900008739517377</v>
      </c>
      <c r="F24" s="79"/>
      <c r="G24" s="79"/>
      <c r="H24" s="80"/>
    </row>
    <row r="25" spans="2:8">
      <c r="B25" s="81"/>
      <c r="C25" s="79"/>
      <c r="D25" s="79"/>
      <c r="E25" s="79"/>
      <c r="F25" s="79"/>
      <c r="G25" s="79"/>
      <c r="H25" s="80"/>
    </row>
    <row r="26" spans="2:8">
      <c r="B26" s="96" t="s">
        <v>199</v>
      </c>
      <c r="C26" s="79"/>
      <c r="D26" s="79"/>
      <c r="E26" s="79"/>
      <c r="F26" s="79"/>
      <c r="G26" s="79"/>
      <c r="H26" s="80"/>
    </row>
    <row r="27" spans="2:8">
      <c r="B27" s="97" t="s">
        <v>200</v>
      </c>
      <c r="C27" s="79"/>
      <c r="D27" s="79"/>
      <c r="E27" s="79"/>
      <c r="F27" s="79"/>
      <c r="G27" s="79"/>
      <c r="H27" s="80"/>
    </row>
    <row r="28" spans="2:8" ht="14.5" thickBot="1">
      <c r="B28" s="98" t="s">
        <v>201</v>
      </c>
      <c r="C28" s="99"/>
      <c r="D28" s="99"/>
      <c r="E28" s="99"/>
      <c r="F28" s="99"/>
      <c r="G28" s="99"/>
      <c r="H28" s="100"/>
    </row>
  </sheetData>
  <phoneticPr fontId="35" type="noConversion"/>
  <conditionalFormatting sqref="C22:E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{BCB9D0B0-5703-45A9-B4BF-22E7D599A2DD}</x14:id>
        </ext>
      </extLst>
    </cfRule>
  </conditionalFormatting>
  <pageMargins left="0.75" right="0.75" top="1" bottom="1" header="0.5" footer="0.5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CB9D0B0-5703-45A9-B4BF-22E7D599A2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C22:E22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375623"/>
  </sheetPr>
  <dimension ref="A1:I17"/>
  <sheetViews>
    <sheetView showGridLines="0" workbookViewId="0">
      <selection activeCell="AB50" sqref="AB50"/>
    </sheetView>
  </sheetViews>
  <sheetFormatPr defaultRowHeight="14"/>
  <cols>
    <col min="1" max="1" width="22" customWidth="1"/>
    <col min="2" max="8" width="15" customWidth="1"/>
    <col min="9" max="9" width="60" customWidth="1"/>
  </cols>
  <sheetData>
    <row r="1" spans="1:9" ht="16.5">
      <c r="A1" s="1" t="s">
        <v>223</v>
      </c>
      <c r="B1" s="2"/>
      <c r="C1" s="2"/>
      <c r="D1" s="2"/>
      <c r="E1" s="2"/>
      <c r="F1" s="2"/>
      <c r="G1" s="2"/>
      <c r="H1" s="2"/>
      <c r="I1" s="2"/>
    </row>
    <row r="2" spans="1:9">
      <c r="A2" s="45" t="s">
        <v>224</v>
      </c>
    </row>
    <row r="4" spans="1:9">
      <c r="A4" s="46" t="s">
        <v>225</v>
      </c>
      <c r="B4" s="46" t="s">
        <v>226</v>
      </c>
      <c r="C4" s="46" t="s">
        <v>227</v>
      </c>
      <c r="D4" s="46" t="s">
        <v>228</v>
      </c>
      <c r="E4" s="46" t="s">
        <v>229</v>
      </c>
      <c r="F4" s="46" t="s">
        <v>230</v>
      </c>
      <c r="G4" s="46" t="s">
        <v>231</v>
      </c>
      <c r="H4" s="46" t="s">
        <v>232</v>
      </c>
    </row>
    <row r="5" spans="1:9" ht="14.5">
      <c r="A5" s="47" t="s">
        <v>233</v>
      </c>
      <c r="B5" s="48" t="s">
        <v>234</v>
      </c>
      <c r="C5" s="49" t="s">
        <v>235</v>
      </c>
      <c r="D5" s="50" t="s">
        <v>236</v>
      </c>
      <c r="E5" s="51" t="s">
        <v>237</v>
      </c>
      <c r="F5" s="52">
        <v>46.5</v>
      </c>
      <c r="G5" s="52">
        <v>26.1</v>
      </c>
      <c r="H5" s="53" t="s">
        <v>238</v>
      </c>
    </row>
    <row r="6" spans="1:9" ht="14.5">
      <c r="A6" s="47" t="s">
        <v>239</v>
      </c>
      <c r="B6" s="48" t="s">
        <v>240</v>
      </c>
      <c r="C6" s="49" t="s">
        <v>241</v>
      </c>
      <c r="D6" s="50" t="s">
        <v>242</v>
      </c>
      <c r="E6" s="51" t="s">
        <v>243</v>
      </c>
      <c r="F6" s="52">
        <v>43</v>
      </c>
      <c r="G6" s="52">
        <v>20.100000000000001</v>
      </c>
      <c r="H6" s="53" t="s">
        <v>244</v>
      </c>
    </row>
    <row r="7" spans="1:9" ht="14.5">
      <c r="A7" s="47" t="s">
        <v>245</v>
      </c>
      <c r="B7" s="48" t="s">
        <v>246</v>
      </c>
      <c r="C7" s="49" t="s">
        <v>247</v>
      </c>
      <c r="D7" s="50" t="s">
        <v>248</v>
      </c>
      <c r="E7" s="51" t="s">
        <v>248</v>
      </c>
      <c r="F7" s="52">
        <v>21.5</v>
      </c>
      <c r="G7" s="52">
        <v>16.899999999999999</v>
      </c>
      <c r="H7" s="53" t="s">
        <v>249</v>
      </c>
    </row>
    <row r="8" spans="1:9" ht="14.5">
      <c r="A8" s="47" t="s">
        <v>250</v>
      </c>
      <c r="B8" s="48" t="s">
        <v>251</v>
      </c>
      <c r="C8" s="49" t="s">
        <v>252</v>
      </c>
      <c r="D8" s="50" t="s">
        <v>248</v>
      </c>
      <c r="E8" s="51" t="s">
        <v>248</v>
      </c>
      <c r="F8" s="52">
        <v>18.8</v>
      </c>
      <c r="G8" s="52">
        <v>15.6</v>
      </c>
      <c r="H8" s="53" t="s">
        <v>253</v>
      </c>
    </row>
    <row r="9" spans="1:9" ht="14.5">
      <c r="A9" s="47" t="s">
        <v>254</v>
      </c>
      <c r="B9" s="48" t="s">
        <v>255</v>
      </c>
      <c r="C9" s="49" t="s">
        <v>256</v>
      </c>
      <c r="D9" s="50" t="s">
        <v>248</v>
      </c>
      <c r="E9" s="51" t="s">
        <v>248</v>
      </c>
      <c r="F9" s="52">
        <v>20.399999999999999</v>
      </c>
      <c r="G9" s="52">
        <v>16.5</v>
      </c>
      <c r="H9" s="53" t="s">
        <v>257</v>
      </c>
    </row>
    <row r="10" spans="1:9" ht="14.5">
      <c r="A10" s="47" t="s">
        <v>258</v>
      </c>
      <c r="B10" s="48" t="s">
        <v>259</v>
      </c>
      <c r="C10" s="49" t="s">
        <v>260</v>
      </c>
      <c r="D10" s="50" t="s">
        <v>248</v>
      </c>
      <c r="E10" s="51" t="s">
        <v>248</v>
      </c>
      <c r="F10" s="52">
        <v>21.5</v>
      </c>
      <c r="G10" s="52">
        <v>16</v>
      </c>
      <c r="H10" s="53" t="s">
        <v>261</v>
      </c>
    </row>
    <row r="11" spans="1:9" ht="14.5">
      <c r="A11" s="54" t="s">
        <v>262</v>
      </c>
      <c r="B11" s="48" t="s">
        <v>263</v>
      </c>
      <c r="C11" s="55">
        <f>Drivers!H64</f>
        <v>55.83</v>
      </c>
      <c r="D11" s="55">
        <f>Valuation!F17</f>
        <v>63.091517813684717</v>
      </c>
      <c r="E11" s="53" t="s">
        <v>264</v>
      </c>
      <c r="F11" s="56">
        <f>Drivers!H65/IS!M26</f>
        <v>40.721737584080699</v>
      </c>
      <c r="G11" s="56">
        <f>Drivers!H65/IS!R26</f>
        <v>27.252861946951803</v>
      </c>
      <c r="H11" s="53" t="s">
        <v>265</v>
      </c>
    </row>
    <row r="13" spans="1:9">
      <c r="A13" s="54" t="s">
        <v>266</v>
      </c>
    </row>
    <row r="14" spans="1:9" ht="26" customHeight="1">
      <c r="A14" s="74" t="s">
        <v>267</v>
      </c>
      <c r="B14" s="73"/>
      <c r="C14" s="73"/>
      <c r="D14" s="73"/>
      <c r="E14" s="73"/>
      <c r="F14" s="73"/>
      <c r="G14" s="73"/>
      <c r="H14" s="73"/>
      <c r="I14" s="73"/>
    </row>
    <row r="15" spans="1:9" ht="26" customHeight="1">
      <c r="A15" s="74" t="s">
        <v>268</v>
      </c>
      <c r="B15" s="73"/>
      <c r="C15" s="73"/>
      <c r="D15" s="73"/>
      <c r="E15" s="73"/>
      <c r="F15" s="73"/>
      <c r="G15" s="73"/>
      <c r="H15" s="73"/>
      <c r="I15" s="73"/>
    </row>
    <row r="16" spans="1:9" ht="26" customHeight="1">
      <c r="A16" s="74" t="s">
        <v>269</v>
      </c>
      <c r="B16" s="73"/>
      <c r="C16" s="73"/>
      <c r="D16" s="73"/>
      <c r="E16" s="73"/>
      <c r="F16" s="73"/>
      <c r="G16" s="73"/>
      <c r="H16" s="73"/>
      <c r="I16" s="73"/>
    </row>
    <row r="17" spans="1:9" ht="26" customHeight="1">
      <c r="A17" s="74" t="s">
        <v>270</v>
      </c>
      <c r="B17" s="73"/>
      <c r="C17" s="73"/>
      <c r="D17" s="73"/>
      <c r="E17" s="73"/>
      <c r="F17" s="73"/>
      <c r="G17" s="73"/>
      <c r="H17" s="73"/>
      <c r="I17" s="73"/>
    </row>
  </sheetData>
  <mergeCells count="4">
    <mergeCell ref="A15:I15"/>
    <mergeCell ref="A17:I17"/>
    <mergeCell ref="A14:I14"/>
    <mergeCell ref="A16:I16"/>
  </mergeCells>
  <phoneticPr fontId="35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4"/>
  <sheetViews>
    <sheetView showGridLines="0" workbookViewId="0">
      <pane xSplit="1" ySplit="3" topLeftCell="B4" activePane="bottomRight" state="frozen"/>
      <selection activeCell="AB50" sqref="AB50"/>
      <selection pane="topRight" activeCell="AB50" sqref="AB50"/>
      <selection pane="bottomLeft" activeCell="AB50" sqref="AB50"/>
      <selection pane="bottomRight" activeCell="AB50" sqref="AB50"/>
    </sheetView>
  </sheetViews>
  <sheetFormatPr defaultRowHeight="14"/>
  <cols>
    <col min="1" max="1" width="40" customWidth="1"/>
    <col min="2" max="6" width="11.453125" customWidth="1"/>
    <col min="7" max="7" width="70" customWidth="1"/>
  </cols>
  <sheetData>
    <row r="1" spans="1:7" ht="15">
      <c r="A1" s="57" t="s">
        <v>271</v>
      </c>
      <c r="B1" s="2"/>
      <c r="C1" s="2"/>
      <c r="D1" s="2"/>
      <c r="E1" s="2"/>
      <c r="F1" s="2"/>
      <c r="G1" s="2"/>
    </row>
    <row r="2" spans="1:7">
      <c r="A2" s="3" t="s">
        <v>272</v>
      </c>
    </row>
    <row r="3" spans="1:7" ht="14.5">
      <c r="A3" s="58" t="s">
        <v>273</v>
      </c>
      <c r="B3" s="6" t="s">
        <v>274</v>
      </c>
      <c r="C3" s="6" t="s">
        <v>275</v>
      </c>
      <c r="D3" s="6" t="s">
        <v>276</v>
      </c>
      <c r="E3" s="6" t="s">
        <v>277</v>
      </c>
      <c r="F3" s="6" t="s">
        <v>278</v>
      </c>
      <c r="G3" s="59" t="s">
        <v>279</v>
      </c>
    </row>
    <row r="4" spans="1:7" ht="14.5">
      <c r="A4" s="17" t="s">
        <v>280</v>
      </c>
      <c r="B4" s="18">
        <v>12.2</v>
      </c>
      <c r="C4" s="18">
        <v>12.3</v>
      </c>
      <c r="D4" s="21">
        <v>12.2</v>
      </c>
      <c r="E4" s="21">
        <v>12.3</v>
      </c>
      <c r="F4" s="21">
        <v>12.4</v>
      </c>
      <c r="G4" s="45" t="s">
        <v>281</v>
      </c>
    </row>
    <row r="5" spans="1:7" ht="14.5">
      <c r="A5" s="17" t="s">
        <v>282</v>
      </c>
      <c r="B5" s="60">
        <v>120</v>
      </c>
      <c r="C5" s="60">
        <v>125</v>
      </c>
      <c r="D5" s="61">
        <v>130</v>
      </c>
      <c r="E5" s="61">
        <v>136</v>
      </c>
      <c r="F5" s="61">
        <v>141</v>
      </c>
      <c r="G5" s="45" t="s">
        <v>283</v>
      </c>
    </row>
    <row r="6" spans="1:7" ht="14.5">
      <c r="A6" s="17" t="s">
        <v>284</v>
      </c>
      <c r="B6" s="34">
        <f>B4*B5</f>
        <v>1464</v>
      </c>
      <c r="C6" s="34">
        <f>C4*C5</f>
        <v>1537.5</v>
      </c>
      <c r="D6" s="34">
        <f>D4*D5</f>
        <v>1586</v>
      </c>
      <c r="E6" s="34">
        <f>E4*E5</f>
        <v>1672.8000000000002</v>
      </c>
      <c r="F6" s="34">
        <f>F4*F5</f>
        <v>1748.4</v>
      </c>
    </row>
    <row r="7" spans="1:7" ht="14.5">
      <c r="A7" s="17" t="s">
        <v>285</v>
      </c>
      <c r="B7" s="62">
        <v>4.5999999999999999E-2</v>
      </c>
      <c r="C7" s="62">
        <v>4.4999999999999998E-2</v>
      </c>
      <c r="D7" s="63">
        <v>4.4999999999999998E-2</v>
      </c>
      <c r="E7" s="63">
        <v>4.3999999999999997E-2</v>
      </c>
      <c r="F7" s="63">
        <v>4.2999999999999997E-2</v>
      </c>
      <c r="G7" s="45" t="s">
        <v>286</v>
      </c>
    </row>
    <row r="8" spans="1:7" ht="14.5">
      <c r="A8" s="9" t="s">
        <v>287</v>
      </c>
      <c r="B8" s="11">
        <f>B6*B7</f>
        <v>67.343999999999994</v>
      </c>
      <c r="C8" s="11">
        <f>C6*C7</f>
        <v>69.1875</v>
      </c>
      <c r="D8" s="11">
        <f>D6*D7</f>
        <v>71.36999999999999</v>
      </c>
      <c r="E8" s="11">
        <f>E6*E7</f>
        <v>73.603200000000001</v>
      </c>
      <c r="F8" s="11">
        <f>F6*F7</f>
        <v>75.181200000000004</v>
      </c>
    </row>
    <row r="9" spans="1:7" ht="14.5">
      <c r="A9" s="17" t="s">
        <v>288</v>
      </c>
      <c r="B9" s="14">
        <f>B10/B8</f>
        <v>0.29773699215965788</v>
      </c>
      <c r="C9" s="14">
        <f>C10/C8</f>
        <v>0.28690587172538395</v>
      </c>
      <c r="D9" s="15">
        <v>0.28249999999999997</v>
      </c>
      <c r="E9" s="15">
        <v>0.27779999999999999</v>
      </c>
      <c r="F9" s="15">
        <v>0.27439999999999998</v>
      </c>
      <c r="G9" s="45" t="s">
        <v>289</v>
      </c>
    </row>
    <row r="10" spans="1:7" ht="14.5">
      <c r="A10" s="9" t="s">
        <v>290</v>
      </c>
      <c r="B10" s="29">
        <f>Drivers!C7/100</f>
        <v>20.050799999999999</v>
      </c>
      <c r="C10" s="29">
        <f>Drivers!H7/100</f>
        <v>19.850300000000001</v>
      </c>
      <c r="D10" s="11">
        <f>D8*D9</f>
        <v>20.162024999999996</v>
      </c>
      <c r="E10" s="11">
        <f>E8*E9</f>
        <v>20.44696896</v>
      </c>
      <c r="F10" s="11">
        <f>F8*F9</f>
        <v>20.629721279999998</v>
      </c>
      <c r="G10" s="45" t="s">
        <v>291</v>
      </c>
    </row>
    <row r="11" spans="1:7" ht="14.5">
      <c r="A11" s="13" t="s">
        <v>27</v>
      </c>
      <c r="C11" s="14">
        <f>C10/B10-1</f>
        <v>-9.9996010134257851E-3</v>
      </c>
      <c r="D11" s="14">
        <f>D10/C10-1</f>
        <v>1.5703792889779855E-2</v>
      </c>
      <c r="E11" s="14">
        <f>E10/D10-1</f>
        <v>1.413270542021472E-2</v>
      </c>
      <c r="F11" s="14">
        <f>F10/E10-1</f>
        <v>8.9378685103651545E-3</v>
      </c>
    </row>
    <row r="12" spans="1:7" ht="14.5">
      <c r="A12" s="9" t="s">
        <v>292</v>
      </c>
      <c r="D12" s="64">
        <f>(D10*100-Drivers!I7)/SUM(Drivers!E7:G7)-1</f>
        <v>1.9964199254524528E-2</v>
      </c>
      <c r="E12" s="65">
        <f>E10/D10-1</f>
        <v>1.413270542021472E-2</v>
      </c>
      <c r="F12" s="65">
        <f>F10/E10-1</f>
        <v>8.9378685103651545E-3</v>
      </c>
    </row>
    <row r="14" spans="1:7" ht="14.5">
      <c r="A14" s="9" t="s">
        <v>293</v>
      </c>
      <c r="B14" s="15">
        <v>0.34499999999999997</v>
      </c>
      <c r="C14" s="15">
        <v>0.37</v>
      </c>
      <c r="D14" s="15">
        <v>0.375</v>
      </c>
      <c r="E14" s="15">
        <v>0.38500000000000001</v>
      </c>
      <c r="F14" s="15">
        <v>0.38800000000000001</v>
      </c>
      <c r="G14" s="45" t="s">
        <v>294</v>
      </c>
    </row>
  </sheetData>
  <phoneticPr fontId="35" type="noConversion"/>
  <pageMargins left="0.75" right="0.75" top="1" bottom="1" header="0.5" footer="0.5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3"/>
  <sheetViews>
    <sheetView showGridLines="0" workbookViewId="0">
      <pane xSplit="1" ySplit="3" topLeftCell="B4" activePane="bottomRight" state="frozen"/>
      <selection activeCell="AB50" sqref="AB50"/>
      <selection pane="topRight" activeCell="AB50" sqref="AB50"/>
      <selection pane="bottomLeft" activeCell="AB50" sqref="AB50"/>
      <selection pane="bottomRight" activeCell="AB50" sqref="AB50"/>
    </sheetView>
  </sheetViews>
  <sheetFormatPr defaultRowHeight="14"/>
  <cols>
    <col min="1" max="1" width="40" customWidth="1"/>
    <col min="2" max="6" width="11.453125" customWidth="1"/>
    <col min="7" max="7" width="70" customWidth="1"/>
  </cols>
  <sheetData>
    <row r="1" spans="1:7" ht="15">
      <c r="A1" s="57" t="s">
        <v>295</v>
      </c>
      <c r="B1" s="2"/>
      <c r="C1" s="2"/>
      <c r="D1" s="2"/>
      <c r="E1" s="2"/>
      <c r="F1" s="2"/>
      <c r="G1" s="2"/>
    </row>
    <row r="2" spans="1:7">
      <c r="A2" s="3" t="s">
        <v>296</v>
      </c>
    </row>
    <row r="3" spans="1:7" ht="14.5">
      <c r="A3" s="58" t="s">
        <v>273</v>
      </c>
      <c r="B3" s="6" t="s">
        <v>274</v>
      </c>
      <c r="C3" s="6" t="s">
        <v>275</v>
      </c>
      <c r="D3" s="6" t="s">
        <v>276</v>
      </c>
      <c r="E3" s="6" t="s">
        <v>277</v>
      </c>
      <c r="F3" s="6" t="s">
        <v>278</v>
      </c>
      <c r="G3" s="59" t="s">
        <v>279</v>
      </c>
    </row>
    <row r="4" spans="1:7" ht="14.5">
      <c r="A4" s="17" t="s">
        <v>297</v>
      </c>
      <c r="C4" s="18">
        <v>298.3</v>
      </c>
      <c r="D4" s="21">
        <v>322.2</v>
      </c>
      <c r="E4" s="21">
        <v>348</v>
      </c>
      <c r="F4" s="21">
        <v>372.3</v>
      </c>
      <c r="G4" s="45" t="s">
        <v>298</v>
      </c>
    </row>
    <row r="5" spans="1:7" ht="14.5">
      <c r="A5" s="17" t="s">
        <v>299</v>
      </c>
      <c r="C5" s="62">
        <v>0.05</v>
      </c>
      <c r="D5" s="63">
        <v>4.8500000000000001E-2</v>
      </c>
      <c r="E5" s="63">
        <v>4.7100000000000003E-2</v>
      </c>
      <c r="F5" s="63">
        <v>4.5699999999999998E-2</v>
      </c>
      <c r="G5" s="45" t="s">
        <v>300</v>
      </c>
    </row>
    <row r="6" spans="1:7" ht="14.5">
      <c r="A6" s="9" t="s">
        <v>301</v>
      </c>
      <c r="B6" s="29">
        <f>Drivers!C9/100</f>
        <v>15.065799999999999</v>
      </c>
      <c r="C6" s="29">
        <f>Drivers!H9/100</f>
        <v>14.9152</v>
      </c>
      <c r="D6" s="11">
        <f>D4*D5</f>
        <v>15.6267</v>
      </c>
      <c r="E6" s="11">
        <f>E4*E5</f>
        <v>16.390800000000002</v>
      </c>
      <c r="F6" s="11">
        <f>F4*F5</f>
        <v>17.014109999999999</v>
      </c>
      <c r="G6" s="45" t="s">
        <v>302</v>
      </c>
    </row>
    <row r="7" spans="1:7" ht="14.5">
      <c r="A7" s="13" t="s">
        <v>27</v>
      </c>
      <c r="C7" s="14">
        <f>C6/B6-1</f>
        <v>-9.9961502210303976E-3</v>
      </c>
      <c r="D7" s="14">
        <f>D6/C6-1</f>
        <v>4.7703014374597563E-2</v>
      </c>
      <c r="E7" s="14">
        <f>E6/D6-1</f>
        <v>4.8897079997696435E-2</v>
      </c>
      <c r="F7" s="14">
        <f>F6/E6-1</f>
        <v>3.8028040120067219E-2</v>
      </c>
    </row>
    <row r="8" spans="1:7" ht="14.5">
      <c r="A8" s="9" t="s">
        <v>303</v>
      </c>
      <c r="D8" s="64">
        <f>(D6*100-Drivers!I9)/SUM(Drivers!E9:G9)-1</f>
        <v>3.4350234642391175E-2</v>
      </c>
      <c r="E8" s="65">
        <f>E6/D6-1</f>
        <v>4.8897079997696435E-2</v>
      </c>
      <c r="F8" s="65">
        <f>F6/E6-1</f>
        <v>3.8028040120067219E-2</v>
      </c>
    </row>
    <row r="10" spans="1:7">
      <c r="A10" s="9" t="s">
        <v>304</v>
      </c>
      <c r="G10" s="45" t="s">
        <v>305</v>
      </c>
    </row>
    <row r="11" spans="1:7" ht="14.5">
      <c r="A11" s="9" t="s">
        <v>306</v>
      </c>
      <c r="D11" s="15">
        <v>0.18</v>
      </c>
      <c r="E11" s="15">
        <v>0.18</v>
      </c>
      <c r="F11" s="15">
        <v>0.15</v>
      </c>
      <c r="G11" s="45" t="s">
        <v>307</v>
      </c>
    </row>
    <row r="13" spans="1:7" ht="14.5">
      <c r="A13" s="9" t="s">
        <v>308</v>
      </c>
      <c r="B13" s="15">
        <v>0.315</v>
      </c>
      <c r="C13" s="15">
        <v>0.34</v>
      </c>
      <c r="D13" s="15">
        <v>0.34499999999999997</v>
      </c>
      <c r="E13" s="15">
        <v>0.35499999999999998</v>
      </c>
      <c r="F13" s="15">
        <v>0.35799999999999998</v>
      </c>
      <c r="G13" s="45" t="s">
        <v>309</v>
      </c>
    </row>
  </sheetData>
  <phoneticPr fontId="35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7"/>
  <sheetViews>
    <sheetView showGridLines="0" workbookViewId="0">
      <pane xSplit="1" ySplit="3" topLeftCell="B4" activePane="bottomRight" state="frozen"/>
      <selection activeCell="AB50" sqref="AB50"/>
      <selection pane="topRight" activeCell="AB50" sqref="AB50"/>
      <selection pane="bottomLeft" activeCell="AB50" sqref="AB50"/>
      <selection pane="bottomRight" activeCell="AB50" sqref="AB50"/>
    </sheetView>
  </sheetViews>
  <sheetFormatPr defaultRowHeight="14"/>
  <cols>
    <col min="1" max="1" width="40" customWidth="1"/>
    <col min="2" max="6" width="11.453125" customWidth="1"/>
    <col min="7" max="7" width="70" customWidth="1"/>
  </cols>
  <sheetData>
    <row r="1" spans="1:7" ht="15">
      <c r="A1" s="57" t="s">
        <v>310</v>
      </c>
      <c r="B1" s="2"/>
      <c r="C1" s="2"/>
      <c r="D1" s="2"/>
      <c r="E1" s="2"/>
      <c r="F1" s="2"/>
      <c r="G1" s="2"/>
    </row>
    <row r="2" spans="1:7">
      <c r="A2" s="3" t="s">
        <v>311</v>
      </c>
    </row>
    <row r="3" spans="1:7" ht="14.5">
      <c r="A3" s="58" t="s">
        <v>273</v>
      </c>
      <c r="B3" s="6" t="s">
        <v>274</v>
      </c>
      <c r="C3" s="6" t="s">
        <v>275</v>
      </c>
      <c r="D3" s="6" t="s">
        <v>276</v>
      </c>
      <c r="E3" s="6" t="s">
        <v>277</v>
      </c>
      <c r="F3" s="6" t="s">
        <v>278</v>
      </c>
      <c r="G3" s="59" t="s">
        <v>279</v>
      </c>
    </row>
    <row r="4" spans="1:7" ht="14.5">
      <c r="A4" s="17" t="s">
        <v>312</v>
      </c>
      <c r="B4" s="60">
        <v>1289</v>
      </c>
      <c r="C4" s="60">
        <v>1620</v>
      </c>
      <c r="D4" s="61">
        <v>1860</v>
      </c>
      <c r="E4" s="61">
        <v>2050</v>
      </c>
      <c r="F4" s="61">
        <v>2230</v>
      </c>
      <c r="G4" s="45" t="s">
        <v>313</v>
      </c>
    </row>
    <row r="5" spans="1:7" ht="14.5">
      <c r="A5" s="13" t="s">
        <v>314</v>
      </c>
      <c r="B5" s="24">
        <v>0.42</v>
      </c>
      <c r="C5" s="24">
        <v>0.52</v>
      </c>
      <c r="D5" s="66">
        <v>0.57999999999999996</v>
      </c>
      <c r="E5" s="66">
        <v>0.63</v>
      </c>
      <c r="F5" s="66">
        <v>0.67</v>
      </c>
      <c r="G5" s="45" t="s">
        <v>315</v>
      </c>
    </row>
    <row r="6" spans="1:7" ht="14.5">
      <c r="A6" s="17" t="s">
        <v>316</v>
      </c>
      <c r="B6" s="60">
        <v>209</v>
      </c>
      <c r="C6" s="60">
        <v>220</v>
      </c>
      <c r="D6" s="61">
        <v>240</v>
      </c>
      <c r="E6" s="61">
        <v>271</v>
      </c>
      <c r="F6" s="61">
        <v>305</v>
      </c>
      <c r="G6" s="45" t="s">
        <v>317</v>
      </c>
    </row>
    <row r="7" spans="1:7" ht="14.5">
      <c r="A7" s="17" t="s">
        <v>318</v>
      </c>
      <c r="D7" s="67">
        <v>70</v>
      </c>
      <c r="E7" s="67">
        <v>90</v>
      </c>
      <c r="F7" s="67">
        <v>110</v>
      </c>
    </row>
    <row r="8" spans="1:7" ht="14.5">
      <c r="A8" s="17" t="s">
        <v>319</v>
      </c>
      <c r="D8" s="67">
        <v>95</v>
      </c>
      <c r="E8" s="67">
        <v>120</v>
      </c>
      <c r="F8" s="67">
        <v>150</v>
      </c>
      <c r="G8" s="45" t="s">
        <v>320</v>
      </c>
    </row>
    <row r="9" spans="1:7" ht="14.5">
      <c r="A9" s="9" t="s">
        <v>321</v>
      </c>
      <c r="D9" s="11">
        <f>(D7+D8)/2</f>
        <v>82.5</v>
      </c>
      <c r="E9" s="11">
        <f>(E7+E8)/2</f>
        <v>105</v>
      </c>
      <c r="F9" s="11">
        <f>(F7+F8)/2</f>
        <v>130</v>
      </c>
    </row>
    <row r="10" spans="1:7" ht="14.5">
      <c r="A10" s="17" t="s">
        <v>322</v>
      </c>
      <c r="D10" s="15">
        <v>0.20799999999999999</v>
      </c>
      <c r="E10" s="15">
        <v>0.2031</v>
      </c>
      <c r="F10" s="15">
        <v>0.2001</v>
      </c>
      <c r="G10" s="45" t="s">
        <v>323</v>
      </c>
    </row>
    <row r="11" spans="1:7" ht="14.5">
      <c r="A11" s="17" t="s">
        <v>324</v>
      </c>
      <c r="B11" s="18">
        <v>9.94</v>
      </c>
      <c r="C11" s="18">
        <v>14.3</v>
      </c>
      <c r="D11" s="19">
        <f>D9*D10</f>
        <v>17.16</v>
      </c>
      <c r="E11" s="19">
        <f>E9*E10</f>
        <v>21.325500000000002</v>
      </c>
      <c r="F11" s="19">
        <f>F9*F10</f>
        <v>26.013000000000002</v>
      </c>
      <c r="G11" s="45" t="s">
        <v>325</v>
      </c>
    </row>
    <row r="12" spans="1:7" ht="14.5">
      <c r="A12" s="17" t="s">
        <v>326</v>
      </c>
      <c r="B12" s="18">
        <v>1.1000000000000001</v>
      </c>
      <c r="C12" s="18">
        <v>0.95</v>
      </c>
      <c r="D12" s="21">
        <v>2.5</v>
      </c>
      <c r="E12" s="21">
        <v>4</v>
      </c>
      <c r="F12" s="21">
        <v>5.5</v>
      </c>
      <c r="G12" s="45" t="s">
        <v>327</v>
      </c>
    </row>
    <row r="13" spans="1:7" ht="14.5">
      <c r="A13" s="9" t="s">
        <v>328</v>
      </c>
      <c r="B13" s="11">
        <f>B11+B12</f>
        <v>11.04</v>
      </c>
      <c r="C13" s="11">
        <f>C11+C12</f>
        <v>15.25</v>
      </c>
      <c r="D13" s="11">
        <f>D11+D12</f>
        <v>19.66</v>
      </c>
      <c r="E13" s="11">
        <f>E11+E12</f>
        <v>25.325500000000002</v>
      </c>
      <c r="F13" s="11">
        <f>F11+F12</f>
        <v>31.513000000000002</v>
      </c>
      <c r="G13" s="45" t="s">
        <v>329</v>
      </c>
    </row>
    <row r="14" spans="1:7" ht="14.5">
      <c r="A14" s="13" t="s">
        <v>27</v>
      </c>
      <c r="C14" s="14">
        <f>C13/B13-1</f>
        <v>0.38134057971014501</v>
      </c>
      <c r="D14" s="14">
        <f>D13/C13-1</f>
        <v>0.2891803278688525</v>
      </c>
      <c r="E14" s="14">
        <f>E13/D13-1</f>
        <v>0.28817395727365214</v>
      </c>
      <c r="F14" s="14">
        <f>F13/E13-1</f>
        <v>0.24431896704902178</v>
      </c>
    </row>
    <row r="15" spans="1:7" ht="14.5">
      <c r="A15" s="9" t="s">
        <v>330</v>
      </c>
      <c r="D15" s="64">
        <f>(D13*100-Drivers!I11)/SUM(Drivers!E11:G11)-1</f>
        <v>0.29878041324840332</v>
      </c>
      <c r="E15" s="65">
        <f>E13/D13-1</f>
        <v>0.28817395727365214</v>
      </c>
      <c r="F15" s="65">
        <f>F13/E13-1</f>
        <v>0.24431896704902178</v>
      </c>
    </row>
    <row r="17" spans="1:7" ht="14.5">
      <c r="A17" s="9" t="s">
        <v>293</v>
      </c>
      <c r="B17" s="15">
        <v>0.35</v>
      </c>
      <c r="C17" s="15">
        <v>0.35499999999999998</v>
      </c>
      <c r="D17" s="15">
        <v>0.35499999999999998</v>
      </c>
      <c r="E17" s="15">
        <v>0.35499999999999998</v>
      </c>
      <c r="F17" s="15">
        <v>0.35499999999999998</v>
      </c>
      <c r="G17" s="45" t="s">
        <v>331</v>
      </c>
    </row>
  </sheetData>
  <phoneticPr fontId="35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6"/>
  <sheetViews>
    <sheetView showGridLines="0" workbookViewId="0">
      <pane xSplit="1" ySplit="3" topLeftCell="B4" activePane="bottomRight" state="frozen"/>
      <selection activeCell="AB50" sqref="AB50"/>
      <selection pane="topRight" activeCell="AB50" sqref="AB50"/>
      <selection pane="bottomLeft" activeCell="AB50" sqref="AB50"/>
      <selection pane="bottomRight" activeCell="AB50" sqref="AB50"/>
    </sheetView>
  </sheetViews>
  <sheetFormatPr defaultRowHeight="14"/>
  <cols>
    <col min="1" max="1" width="40" customWidth="1"/>
    <col min="2" max="6" width="11.453125" customWidth="1"/>
    <col min="7" max="7" width="70" customWidth="1"/>
  </cols>
  <sheetData>
    <row r="1" spans="1:7" ht="15">
      <c r="A1" s="57" t="s">
        <v>332</v>
      </c>
      <c r="B1" s="2"/>
      <c r="C1" s="2"/>
      <c r="D1" s="2"/>
      <c r="E1" s="2"/>
      <c r="F1" s="2"/>
      <c r="G1" s="2"/>
    </row>
    <row r="2" spans="1:7">
      <c r="A2" s="3" t="s">
        <v>333</v>
      </c>
    </row>
    <row r="3" spans="1:7" ht="14.5">
      <c r="A3" s="58" t="s">
        <v>273</v>
      </c>
      <c r="B3" s="6" t="s">
        <v>274</v>
      </c>
      <c r="C3" s="6" t="s">
        <v>275</v>
      </c>
      <c r="D3" s="6" t="s">
        <v>276</v>
      </c>
      <c r="E3" s="6" t="s">
        <v>277</v>
      </c>
      <c r="F3" s="6" t="s">
        <v>278</v>
      </c>
      <c r="G3" s="59" t="s">
        <v>279</v>
      </c>
    </row>
    <row r="4" spans="1:7" ht="14.5">
      <c r="A4" s="17" t="s">
        <v>334</v>
      </c>
      <c r="B4" s="18">
        <v>0.4</v>
      </c>
      <c r="C4" s="18">
        <v>2.9</v>
      </c>
      <c r="D4" s="21">
        <v>7.5</v>
      </c>
      <c r="E4" s="21">
        <v>11</v>
      </c>
      <c r="F4" s="21">
        <v>15</v>
      </c>
      <c r="G4" s="45" t="s">
        <v>335</v>
      </c>
    </row>
    <row r="5" spans="1:7" ht="14.5">
      <c r="A5" s="17" t="s">
        <v>336</v>
      </c>
      <c r="B5" s="60">
        <v>3000</v>
      </c>
      <c r="C5" s="60">
        <v>3100</v>
      </c>
      <c r="D5" s="61">
        <v>4500</v>
      </c>
      <c r="E5" s="61">
        <v>5500</v>
      </c>
      <c r="F5" s="61">
        <v>6000</v>
      </c>
      <c r="G5" s="45" t="s">
        <v>337</v>
      </c>
    </row>
    <row r="6" spans="1:7" ht="14.5">
      <c r="A6" s="13" t="s">
        <v>338</v>
      </c>
      <c r="B6" s="23">
        <f>B4*B5/10000</f>
        <v>0.12</v>
      </c>
      <c r="C6" s="23">
        <f>C4*C5/10000</f>
        <v>0.89900000000000002</v>
      </c>
      <c r="D6" s="23">
        <f>D4*D5/10000</f>
        <v>3.375</v>
      </c>
      <c r="E6" s="23">
        <f>E4*E5/10000</f>
        <v>6.05</v>
      </c>
      <c r="F6" s="23">
        <f>F4*F5/10000</f>
        <v>9</v>
      </c>
    </row>
    <row r="7" spans="1:7" ht="14.5">
      <c r="A7" s="17" t="s">
        <v>339</v>
      </c>
      <c r="C7" s="60">
        <v>200</v>
      </c>
      <c r="D7" s="61">
        <v>430</v>
      </c>
      <c r="E7" s="61">
        <v>560</v>
      </c>
      <c r="F7" s="61">
        <v>700</v>
      </c>
      <c r="G7" s="45" t="s">
        <v>340</v>
      </c>
    </row>
    <row r="8" spans="1:7" ht="14.5">
      <c r="A8" s="17" t="s">
        <v>341</v>
      </c>
      <c r="C8" s="68">
        <v>20</v>
      </c>
      <c r="D8" s="67">
        <v>100</v>
      </c>
      <c r="E8" s="67">
        <v>100</v>
      </c>
      <c r="F8" s="67">
        <v>105</v>
      </c>
      <c r="G8" s="45" t="s">
        <v>342</v>
      </c>
    </row>
    <row r="9" spans="1:7">
      <c r="A9" s="13" t="s">
        <v>343</v>
      </c>
      <c r="G9" s="45" t="s">
        <v>344</v>
      </c>
    </row>
    <row r="10" spans="1:7" ht="14.5">
      <c r="A10" s="17" t="s">
        <v>345</v>
      </c>
      <c r="C10" s="68">
        <v>12</v>
      </c>
      <c r="D10" s="67">
        <v>30</v>
      </c>
      <c r="E10" s="67">
        <v>55</v>
      </c>
      <c r="F10" s="67">
        <v>75</v>
      </c>
    </row>
    <row r="11" spans="1:7" ht="14.5">
      <c r="A11" s="17" t="s">
        <v>346</v>
      </c>
      <c r="C11" s="68">
        <v>18</v>
      </c>
      <c r="D11" s="67">
        <v>50</v>
      </c>
      <c r="E11" s="67">
        <v>85</v>
      </c>
      <c r="F11" s="67">
        <v>115</v>
      </c>
      <c r="G11" s="45" t="s">
        <v>347</v>
      </c>
    </row>
    <row r="12" spans="1:7" ht="14.5">
      <c r="A12" s="9" t="s">
        <v>348</v>
      </c>
      <c r="C12" s="11">
        <f>(C10+C11)/2</f>
        <v>15</v>
      </c>
      <c r="D12" s="11">
        <f>(D10+D11)/2</f>
        <v>40</v>
      </c>
      <c r="E12" s="11">
        <f>(E10+E11)/2</f>
        <v>70</v>
      </c>
      <c r="F12" s="11">
        <f>(F10+F11)/2</f>
        <v>95</v>
      </c>
    </row>
    <row r="13" spans="1:7" ht="14.5">
      <c r="A13" s="17" t="s">
        <v>349</v>
      </c>
      <c r="C13" s="14">
        <f>C14/C12</f>
        <v>0.156</v>
      </c>
      <c r="D13" s="15">
        <v>0.13</v>
      </c>
      <c r="E13" s="15">
        <v>0.16</v>
      </c>
      <c r="F13" s="15">
        <v>0.17</v>
      </c>
      <c r="G13" s="45" t="s">
        <v>350</v>
      </c>
    </row>
    <row r="14" spans="1:7" ht="14.5">
      <c r="A14" s="9" t="s">
        <v>351</v>
      </c>
      <c r="C14" s="29">
        <f>Drivers!H17/100</f>
        <v>2.34</v>
      </c>
      <c r="D14" s="11">
        <f>D12*D13</f>
        <v>5.2</v>
      </c>
      <c r="E14" s="11">
        <f>E12*E13</f>
        <v>11.200000000000001</v>
      </c>
      <c r="F14" s="11">
        <f>F12*F13</f>
        <v>16.150000000000002</v>
      </c>
      <c r="G14" s="45" t="s">
        <v>352</v>
      </c>
    </row>
    <row r="15" spans="1:7" ht="14.5">
      <c r="A15" s="17" t="s">
        <v>353</v>
      </c>
      <c r="D15" s="26">
        <f>业务5_钽电容!D13</f>
        <v>1.76</v>
      </c>
      <c r="E15" s="26">
        <f>业务5_钽电容!E13</f>
        <v>4.3949999999999996</v>
      </c>
      <c r="F15" s="26">
        <f>业务5_钽电容!F13</f>
        <v>8.84</v>
      </c>
      <c r="G15" s="45" t="s">
        <v>354</v>
      </c>
    </row>
    <row r="16" spans="1:7" ht="14.5">
      <c r="A16" s="9" t="s">
        <v>355</v>
      </c>
      <c r="C16" s="11">
        <f>C14</f>
        <v>2.34</v>
      </c>
      <c r="D16" s="11">
        <f>D14+D15</f>
        <v>6.96</v>
      </c>
      <c r="E16" s="11">
        <f>E14+E15</f>
        <v>15.595000000000001</v>
      </c>
      <c r="F16" s="11">
        <f>F14+F15</f>
        <v>24.990000000000002</v>
      </c>
    </row>
    <row r="17" spans="1:7" ht="14.5">
      <c r="A17" s="13" t="s">
        <v>27</v>
      </c>
      <c r="D17" s="14">
        <f>D16/C16-1</f>
        <v>1.9743589743589745</v>
      </c>
      <c r="E17" s="14">
        <f>E16/D16-1</f>
        <v>1.2406609195402298</v>
      </c>
      <c r="F17" s="14">
        <f>F16/E16-1</f>
        <v>0.60243667842257143</v>
      </c>
    </row>
    <row r="18" spans="1:7" ht="14.5">
      <c r="A18" s="9" t="s">
        <v>356</v>
      </c>
      <c r="B18" s="15">
        <v>0.25</v>
      </c>
      <c r="C18" s="15">
        <v>0.34</v>
      </c>
      <c r="D18" s="15">
        <v>0.41</v>
      </c>
      <c r="G18" s="45" t="s">
        <v>357</v>
      </c>
    </row>
    <row r="19" spans="1:7" ht="14.5">
      <c r="A19" s="9" t="s">
        <v>358</v>
      </c>
      <c r="B19" s="26">
        <f>Drivers!I17</f>
        <v>57</v>
      </c>
      <c r="C19" s="19">
        <f>($D$16*100-$B$19)*B18</f>
        <v>159.75</v>
      </c>
      <c r="D19" s="19">
        <f>($D$16*100-$B$19)*C18</f>
        <v>217.26000000000002</v>
      </c>
      <c r="E19" s="19">
        <f>($D$16*100-$B$19)*D18</f>
        <v>261.99</v>
      </c>
    </row>
    <row r="20" spans="1:7" ht="14.5">
      <c r="A20" s="17" t="s">
        <v>359</v>
      </c>
      <c r="B20" s="15">
        <v>0.19</v>
      </c>
      <c r="C20" s="15">
        <v>0.23</v>
      </c>
      <c r="D20" s="15">
        <v>0.27</v>
      </c>
      <c r="E20" s="15">
        <v>0.31</v>
      </c>
    </row>
    <row r="21" spans="1:7" ht="14.5">
      <c r="A21" s="9" t="s">
        <v>360</v>
      </c>
      <c r="B21" s="19">
        <f>$E$16*100*B20</f>
        <v>296.30500000000001</v>
      </c>
      <c r="C21" s="19">
        <f>$E$16*100*C20</f>
        <v>358.685</v>
      </c>
      <c r="D21" s="19">
        <f>$E$16*100*D20</f>
        <v>421.06500000000005</v>
      </c>
      <c r="E21" s="19">
        <f>$E$16*100*E20</f>
        <v>483.44499999999999</v>
      </c>
    </row>
    <row r="22" spans="1:7" ht="14.5">
      <c r="A22" s="17" t="s">
        <v>361</v>
      </c>
      <c r="B22" s="15">
        <v>0.21</v>
      </c>
      <c r="C22" s="15">
        <v>0.24</v>
      </c>
      <c r="D22" s="15">
        <v>0.26</v>
      </c>
      <c r="E22" s="15">
        <v>0.28999999999999998</v>
      </c>
    </row>
    <row r="23" spans="1:7" ht="14.5">
      <c r="A23" s="9" t="s">
        <v>362</v>
      </c>
      <c r="B23" s="19">
        <f>$F$16*100*B22</f>
        <v>524.79</v>
      </c>
      <c r="C23" s="19">
        <f>$F$16*100*C22</f>
        <v>599.76</v>
      </c>
      <c r="D23" s="19">
        <f>$F$16*100*D22</f>
        <v>649.74</v>
      </c>
      <c r="E23" s="19">
        <f>$F$16*100*E22</f>
        <v>724.70999999999992</v>
      </c>
    </row>
    <row r="25" spans="1:7" ht="14.5">
      <c r="A25" s="9" t="s">
        <v>363</v>
      </c>
      <c r="B25" s="15">
        <v>0.34</v>
      </c>
      <c r="C25" s="15">
        <v>0.36499999999999999</v>
      </c>
      <c r="D25" s="15">
        <v>0.38</v>
      </c>
      <c r="E25" s="15">
        <v>0.41</v>
      </c>
      <c r="F25" s="15">
        <v>0.42</v>
      </c>
      <c r="G25" s="45" t="s">
        <v>364</v>
      </c>
    </row>
    <row r="26" spans="1:7">
      <c r="A26" s="13" t="s">
        <v>365</v>
      </c>
      <c r="G26" s="45" t="s">
        <v>366</v>
      </c>
    </row>
  </sheetData>
  <phoneticPr fontId="35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5"/>
  <sheetViews>
    <sheetView showGridLines="0" workbookViewId="0">
      <pane xSplit="1" ySplit="3" topLeftCell="B4" activePane="bottomRight" state="frozen"/>
      <selection activeCell="AB50" sqref="AB50"/>
      <selection pane="topRight" activeCell="AB50" sqref="AB50"/>
      <selection pane="bottomLeft" activeCell="AB50" sqref="AB50"/>
      <selection pane="bottomRight" activeCell="G33" sqref="G33"/>
    </sheetView>
  </sheetViews>
  <sheetFormatPr defaultRowHeight="14"/>
  <cols>
    <col min="1" max="1" width="40" customWidth="1"/>
    <col min="2" max="6" width="11.453125" customWidth="1"/>
    <col min="7" max="7" width="70" customWidth="1"/>
  </cols>
  <sheetData>
    <row r="1" spans="1:7" ht="15">
      <c r="A1" s="57" t="s">
        <v>367</v>
      </c>
      <c r="B1" s="2"/>
      <c r="C1" s="2"/>
      <c r="D1" s="2"/>
      <c r="E1" s="2"/>
      <c r="F1" s="2"/>
      <c r="G1" s="2"/>
    </row>
    <row r="2" spans="1:7">
      <c r="A2" s="3" t="s">
        <v>368</v>
      </c>
    </row>
    <row r="3" spans="1:7" ht="14.5">
      <c r="A3" s="58" t="s">
        <v>273</v>
      </c>
      <c r="B3" s="6" t="s">
        <v>274</v>
      </c>
      <c r="C3" s="6" t="s">
        <v>275</v>
      </c>
      <c r="D3" s="6" t="s">
        <v>276</v>
      </c>
      <c r="E3" s="6" t="s">
        <v>277</v>
      </c>
      <c r="F3" s="6" t="s">
        <v>278</v>
      </c>
      <c r="G3" s="59" t="s">
        <v>279</v>
      </c>
    </row>
    <row r="4" spans="1:7" ht="14.5">
      <c r="A4" s="17" t="s">
        <v>369</v>
      </c>
      <c r="B4" s="60">
        <v>3600</v>
      </c>
      <c r="C4" s="60">
        <v>5000</v>
      </c>
      <c r="D4" s="61">
        <v>5000</v>
      </c>
      <c r="E4" s="61">
        <v>6000</v>
      </c>
      <c r="F4" s="61">
        <v>6500</v>
      </c>
      <c r="G4" s="45" t="s">
        <v>370</v>
      </c>
    </row>
    <row r="5" spans="1:7" ht="14.5">
      <c r="A5" s="17" t="s">
        <v>371</v>
      </c>
      <c r="B5" s="30">
        <v>4</v>
      </c>
      <c r="C5" s="30">
        <v>5</v>
      </c>
      <c r="D5" s="32">
        <v>5.25</v>
      </c>
      <c r="E5" s="32">
        <v>5.5</v>
      </c>
      <c r="F5" s="32">
        <v>5.5</v>
      </c>
      <c r="G5" s="45" t="s">
        <v>372</v>
      </c>
    </row>
    <row r="6" spans="1:7" ht="14.5">
      <c r="A6" s="13" t="s">
        <v>373</v>
      </c>
      <c r="B6" s="69">
        <f>业务4_AI电感!B4*B4*B5/10000</f>
        <v>0.57599999999999996</v>
      </c>
      <c r="C6" s="69">
        <f>业务4_AI电感!C4*C4*C5/10000</f>
        <v>7.25</v>
      </c>
      <c r="D6" s="69">
        <f>业务4_AI电感!D4*D4*D5/10000</f>
        <v>19.6875</v>
      </c>
      <c r="E6" s="69">
        <f>业务4_AI电感!E4*E4*E5/10000</f>
        <v>36.299999999999997</v>
      </c>
      <c r="F6" s="69">
        <f>业务4_AI电感!F4*F4*F5/10000</f>
        <v>53.625</v>
      </c>
    </row>
    <row r="7" spans="1:7" ht="14.5">
      <c r="A7" s="17" t="s">
        <v>374</v>
      </c>
      <c r="B7" s="68">
        <v>2</v>
      </c>
      <c r="C7" s="68">
        <v>8</v>
      </c>
      <c r="D7" s="67">
        <v>25</v>
      </c>
      <c r="E7" s="67">
        <v>70</v>
      </c>
      <c r="F7" s="67">
        <v>100</v>
      </c>
      <c r="G7" s="45" t="s">
        <v>375</v>
      </c>
    </row>
    <row r="8" spans="1:7" ht="14.5">
      <c r="A8" s="17" t="s">
        <v>376</v>
      </c>
      <c r="C8" s="68">
        <v>27</v>
      </c>
      <c r="D8" s="67">
        <v>40</v>
      </c>
      <c r="E8" s="67">
        <v>63</v>
      </c>
      <c r="F8" s="67">
        <v>75</v>
      </c>
      <c r="G8" s="45" t="s">
        <v>377</v>
      </c>
    </row>
    <row r="9" spans="1:7" ht="14.5">
      <c r="A9" s="17" t="s">
        <v>378</v>
      </c>
      <c r="B9" s="68">
        <v>148</v>
      </c>
      <c r="C9" s="68">
        <v>150</v>
      </c>
      <c r="D9" s="67">
        <v>155</v>
      </c>
      <c r="E9" s="67">
        <v>160</v>
      </c>
      <c r="F9" s="67">
        <v>165</v>
      </c>
    </row>
    <row r="10" spans="1:7" ht="14.5">
      <c r="A10" s="9" t="s">
        <v>379</v>
      </c>
      <c r="B10" s="70">
        <f>SUM(B7:B9)</f>
        <v>150</v>
      </c>
      <c r="C10" s="70">
        <f>SUM(C7:C9)</f>
        <v>185</v>
      </c>
      <c r="D10" s="70">
        <f>SUM(D7:D9)</f>
        <v>220</v>
      </c>
      <c r="E10" s="70">
        <f>SUM(E7:E9)</f>
        <v>293</v>
      </c>
      <c r="F10" s="70">
        <f>SUM(F7:F9)</f>
        <v>340</v>
      </c>
    </row>
    <row r="11" spans="1:7">
      <c r="A11" s="13" t="s">
        <v>380</v>
      </c>
      <c r="G11" s="45" t="s">
        <v>381</v>
      </c>
    </row>
    <row r="12" spans="1:7" ht="14.5">
      <c r="A12" s="17" t="s">
        <v>382</v>
      </c>
      <c r="C12" s="71">
        <f>C13/C10</f>
        <v>4.8648648648648646E-3</v>
      </c>
      <c r="D12" s="72">
        <v>8.0000000000000002E-3</v>
      </c>
      <c r="E12" s="72">
        <v>1.4999999999999999E-2</v>
      </c>
      <c r="F12" s="72">
        <v>2.5999999999999999E-2</v>
      </c>
      <c r="G12" s="45" t="s">
        <v>383</v>
      </c>
    </row>
    <row r="13" spans="1:7" ht="14.5">
      <c r="A13" s="9" t="s">
        <v>384</v>
      </c>
      <c r="C13" s="18">
        <v>0.9</v>
      </c>
      <c r="D13" s="11">
        <f>D10*D12</f>
        <v>1.76</v>
      </c>
      <c r="E13" s="11">
        <f>E10*E12</f>
        <v>4.3949999999999996</v>
      </c>
      <c r="F13" s="11">
        <f>F10*F12</f>
        <v>8.84</v>
      </c>
      <c r="G13" s="45" t="s">
        <v>385</v>
      </c>
    </row>
    <row r="14" spans="1:7" ht="14.5">
      <c r="A14" s="13" t="s">
        <v>27</v>
      </c>
      <c r="D14" s="14">
        <f>D13/C13-1</f>
        <v>0.95555555555555549</v>
      </c>
      <c r="E14" s="14">
        <f>E13/D13-1</f>
        <v>1.4971590909090908</v>
      </c>
      <c r="F14" s="14">
        <f>F13/E13-1</f>
        <v>1.0113765642775885</v>
      </c>
    </row>
    <row r="15" spans="1:7">
      <c r="A15" s="13" t="s">
        <v>386</v>
      </c>
      <c r="G15" s="45" t="s">
        <v>387</v>
      </c>
    </row>
  </sheetData>
  <phoneticPr fontId="35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0"/>
  <sheetViews>
    <sheetView showGridLines="0" workbookViewId="0">
      <pane xSplit="1" ySplit="3" topLeftCell="B4" activePane="bottomRight" state="frozen"/>
      <selection activeCell="AB50" sqref="AB50"/>
      <selection pane="topRight" activeCell="AB50" sqref="AB50"/>
      <selection pane="bottomLeft" activeCell="AB50" sqref="AB50"/>
      <selection pane="bottomRight" activeCell="G31" sqref="G31"/>
    </sheetView>
  </sheetViews>
  <sheetFormatPr defaultRowHeight="14"/>
  <cols>
    <col min="1" max="1" width="40" customWidth="1"/>
    <col min="2" max="6" width="11.453125" customWidth="1"/>
    <col min="7" max="7" width="70" customWidth="1"/>
  </cols>
  <sheetData>
    <row r="1" spans="1:7" ht="15">
      <c r="A1" s="57" t="s">
        <v>388</v>
      </c>
      <c r="B1" s="2"/>
      <c r="C1" s="2"/>
      <c r="D1" s="2"/>
      <c r="E1" s="2"/>
      <c r="F1" s="2"/>
      <c r="G1" s="2"/>
    </row>
    <row r="2" spans="1:7">
      <c r="A2" s="3" t="s">
        <v>389</v>
      </c>
    </row>
    <row r="3" spans="1:7" ht="14.5">
      <c r="A3" s="58" t="s">
        <v>273</v>
      </c>
      <c r="B3" s="6" t="s">
        <v>274</v>
      </c>
      <c r="C3" s="6" t="s">
        <v>275</v>
      </c>
      <c r="D3" s="6" t="s">
        <v>276</v>
      </c>
      <c r="E3" s="6" t="s">
        <v>277</v>
      </c>
      <c r="F3" s="6" t="s">
        <v>278</v>
      </c>
      <c r="G3" s="59" t="s">
        <v>279</v>
      </c>
    </row>
    <row r="4" spans="1:7" ht="14.5">
      <c r="A4" s="9" t="s">
        <v>390</v>
      </c>
      <c r="B4" s="29">
        <f>Drivers!C13/100</f>
        <v>5.0404</v>
      </c>
      <c r="C4" s="29">
        <f>Drivers!H13/100</f>
        <v>5.0404</v>
      </c>
      <c r="D4" s="21">
        <v>5.0999999999999996</v>
      </c>
      <c r="E4" s="21">
        <v>5.2</v>
      </c>
      <c r="F4" s="21">
        <v>5.3</v>
      </c>
      <c r="G4" s="45" t="s">
        <v>391</v>
      </c>
    </row>
    <row r="5" spans="1:7" ht="14.5">
      <c r="A5" s="9" t="s">
        <v>392</v>
      </c>
      <c r="D5" s="64">
        <f>(D4*100-Drivers!I13)/SUM(Drivers!E13:G13)-1</f>
        <v>2.1131256779789442E-3</v>
      </c>
      <c r="E5" s="65">
        <f>E4/D4-1</f>
        <v>1.9607843137255054E-2</v>
      </c>
      <c r="F5" s="65">
        <f>F4/E4-1</f>
        <v>1.9230769230769162E-2</v>
      </c>
    </row>
    <row r="6" spans="1:7" ht="14.5">
      <c r="A6" s="9" t="s">
        <v>393</v>
      </c>
      <c r="B6" s="15">
        <v>0.33</v>
      </c>
      <c r="C6" s="15">
        <v>0.35</v>
      </c>
      <c r="D6" s="15">
        <v>0.35499999999999998</v>
      </c>
      <c r="E6" s="15">
        <v>0.35499999999999998</v>
      </c>
      <c r="F6" s="15">
        <v>0.35499999999999998</v>
      </c>
      <c r="G6" s="45" t="s">
        <v>394</v>
      </c>
    </row>
    <row r="8" spans="1:7" ht="14.5">
      <c r="A8" s="9" t="s">
        <v>395</v>
      </c>
      <c r="B8" s="29">
        <f>Drivers!C15/100</f>
        <v>3.8811</v>
      </c>
      <c r="C8" s="29">
        <f>Drivers!H15/100</f>
        <v>5.0648999999999997</v>
      </c>
      <c r="D8" s="21">
        <v>6.07</v>
      </c>
      <c r="E8" s="21">
        <v>6.98</v>
      </c>
      <c r="F8" s="21">
        <v>7.82</v>
      </c>
      <c r="G8" s="45" t="s">
        <v>396</v>
      </c>
    </row>
    <row r="9" spans="1:7" ht="14.5">
      <c r="A9" s="9" t="s">
        <v>397</v>
      </c>
      <c r="D9" s="64">
        <f>(D8*100-Drivers!I15)/SUM(Drivers!E15:G15)-1</f>
        <v>9.9250816346724724E-2</v>
      </c>
      <c r="E9" s="65">
        <f>E8/D8-1</f>
        <v>0.1499176276771006</v>
      </c>
      <c r="F9" s="65">
        <f>F8/E8-1</f>
        <v>0.12034383954154726</v>
      </c>
    </row>
    <row r="10" spans="1:7" ht="14.5">
      <c r="A10" s="9" t="s">
        <v>398</v>
      </c>
      <c r="B10" s="15">
        <v>0.43</v>
      </c>
      <c r="C10" s="15">
        <v>0.45</v>
      </c>
      <c r="D10" s="15">
        <v>0.46</v>
      </c>
      <c r="E10" s="15">
        <v>0.47499999999999998</v>
      </c>
      <c r="F10" s="15">
        <v>0.48</v>
      </c>
      <c r="G10" s="45" t="s">
        <v>399</v>
      </c>
    </row>
  </sheetData>
  <phoneticPr fontId="3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投资观点</vt:lpstr>
      <vt:lpstr>Drivers</vt:lpstr>
      <vt:lpstr>IS</vt:lpstr>
      <vt:lpstr>BS</vt:lpstr>
      <vt:lpstr>CF</vt:lpstr>
      <vt:lpstr>Valuation</vt:lpstr>
      <vt:lpstr>行业对比</vt:lpstr>
      <vt:lpstr>业务1_手机电感</vt:lpstr>
      <vt:lpstr>业务2_消费AIoT</vt:lpstr>
      <vt:lpstr>业务3_汽车储能</vt:lpstr>
      <vt:lpstr>业务4_AI电感</vt:lpstr>
      <vt:lpstr>业务5_钽电容</vt:lpstr>
      <vt:lpstr>其他业务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有青 高</cp:lastModifiedBy>
  <dcterms:created xsi:type="dcterms:W3CDTF">2026-06-11T15:07:21Z</dcterms:created>
  <dcterms:modified xsi:type="dcterms:W3CDTF">2026-06-11T15:13:30Z</dcterms:modified>
</cp:coreProperties>
</file>